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an\Documents\Fent isofl\Neuroprotection\"/>
    </mc:Choice>
  </mc:AlternateContent>
  <xr:revisionPtr revIDLastSave="0" documentId="13_ncr:20001_{CE9C975C-1F24-4863-B8EC-234E34156120}" xr6:coauthVersionLast="45" xr6:coauthVersionMax="45" xr10:uidLastSave="{00000000-0000-0000-0000-000000000000}"/>
  <bookViews>
    <workbookView xWindow="6750" yWindow="1965" windowWidth="32580" windowHeight="17595" xr2:uid="{00000000-000D-0000-FFFF-FFFF00000000}"/>
  </bookViews>
  <sheets>
    <sheet name="Calculator" sheetId="1" r:id="rId1"/>
    <sheet name="DrugParams" sheetId="2" r:id="rId2"/>
    <sheet name="ClinicalLookup" sheetId="3" r:id="rId3"/>
    <sheet name="d_sweep_slab" sheetId="4" r:id="rId4"/>
    <sheet name="Note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4" l="1"/>
  <c r="B18" i="4"/>
  <c r="D17" i="4"/>
  <c r="B17" i="4"/>
  <c r="D16" i="4"/>
  <c r="B16" i="4"/>
  <c r="D15" i="4"/>
  <c r="B15" i="4"/>
  <c r="D14" i="4"/>
  <c r="B14" i="4"/>
  <c r="D13" i="4"/>
  <c r="B13" i="4"/>
  <c r="D12" i="4"/>
  <c r="B12" i="4"/>
  <c r="D11" i="4"/>
  <c r="B11" i="4"/>
  <c r="D10" i="4"/>
  <c r="B10" i="4"/>
  <c r="D9" i="4"/>
  <c r="B9" i="4"/>
  <c r="D8" i="4"/>
  <c r="B8" i="4"/>
  <c r="D7" i="4"/>
  <c r="B7" i="4"/>
  <c r="D6" i="4"/>
  <c r="B6" i="4"/>
  <c r="D5" i="4"/>
  <c r="B5" i="4"/>
  <c r="D4" i="4"/>
  <c r="B4" i="4"/>
  <c r="B35" i="1"/>
  <c r="B34" i="1"/>
  <c r="B33" i="1"/>
  <c r="B12" i="1"/>
  <c r="G33" i="1" s="1"/>
  <c r="B10" i="1"/>
  <c r="F33" i="1" l="1"/>
  <c r="F34" i="1"/>
  <c r="F35" i="1"/>
  <c r="G35" i="1"/>
  <c r="B13" i="1"/>
  <c r="B17" i="1" s="1"/>
  <c r="G34" i="1"/>
  <c r="B14" i="1"/>
  <c r="B18" i="1" s="1"/>
  <c r="B27" i="1" l="1"/>
  <c r="B28" i="1" s="1"/>
  <c r="B29" i="1" s="1"/>
  <c r="B21" i="1"/>
  <c r="B22" i="1"/>
  <c r="C35" i="1" l="1"/>
  <c r="C18" i="4"/>
  <c r="E18" i="4" s="1"/>
  <c r="C16" i="4"/>
  <c r="E16" i="4" s="1"/>
  <c r="C14" i="4"/>
  <c r="E14" i="4" s="1"/>
  <c r="C12" i="4"/>
  <c r="E12" i="4" s="1"/>
  <c r="C10" i="4"/>
  <c r="E10" i="4" s="1"/>
  <c r="C8" i="4"/>
  <c r="E8" i="4" s="1"/>
  <c r="C6" i="4"/>
  <c r="E6" i="4" s="1"/>
  <c r="C4" i="4"/>
  <c r="E4" i="4" s="1"/>
  <c r="B25" i="1"/>
  <c r="B26" i="1" s="1"/>
  <c r="C17" i="4"/>
  <c r="E17" i="4" s="1"/>
  <c r="C15" i="4"/>
  <c r="E15" i="4" s="1"/>
  <c r="C13" i="4"/>
  <c r="E13" i="4" s="1"/>
  <c r="C11" i="4"/>
  <c r="E11" i="4" s="1"/>
  <c r="C9" i="4"/>
  <c r="E9" i="4" s="1"/>
  <c r="C7" i="4"/>
  <c r="E7" i="4" s="1"/>
  <c r="C5" i="4"/>
  <c r="E5" i="4" s="1"/>
  <c r="B23" i="1"/>
  <c r="B24" i="1" s="1"/>
  <c r="C34" i="1"/>
  <c r="C33" i="1"/>
  <c r="E34" i="1" l="1"/>
  <c r="D34" i="1"/>
  <c r="E33" i="1"/>
  <c r="D33" i="1"/>
  <c r="D35" i="1"/>
  <c r="E35" i="1"/>
</calcChain>
</file>

<file path=xl/sharedStrings.xml><?xml version="1.0" encoding="utf-8"?>
<sst xmlns="http://schemas.openxmlformats.org/spreadsheetml/2006/main" count="425" uniqueCount="162">
  <si>
    <t>Stroke Neuroprotection Deliverability (Reachability) Calculator</t>
  </si>
  <si>
    <t>Imaging-driven upper-bound screen for whether a systemically administered drug can plausibly reach the lesion centre.</t>
  </si>
  <si>
    <t>Inputs</t>
  </si>
  <si>
    <t>Drug</t>
  </si>
  <si>
    <t>Edaravone</t>
  </si>
  <si>
    <t>Select base drug.</t>
  </si>
  <si>
    <t>Parameter scenario</t>
  </si>
  <si>
    <t>Mid-case</t>
  </si>
  <si>
    <t>Mid-case = D_mid/k_mid; Conservative = D_low/k_high; Permissive = D_high/k_low.</t>
  </si>
  <si>
    <t>Geometry</t>
  </si>
  <si>
    <t>Slab</t>
  </si>
  <si>
    <t>Distance input is always centre-to-rim distance d.</t>
  </si>
  <si>
    <t>Core volume V (mL)</t>
  </si>
  <si>
    <t>Enter baseline core volume from CTP/DWI, or leave blank and use d.</t>
  </si>
  <si>
    <t>Override centre-to-rim distance d (mm)</t>
  </si>
  <si>
    <t/>
  </si>
  <si>
    <t>Optional manual override of d (mm).</t>
  </si>
  <si>
    <t>Active distance d (mm)</t>
  </si>
  <si>
    <t>If B9 is blank, d is derived from core volume.</t>
  </si>
  <si>
    <t>Threshold M (fraction of boundary)</t>
  </si>
  <si>
    <t>Examples: 0.01 = 1%; 0.10 = 10%.</t>
  </si>
  <si>
    <t>Library key</t>
  </si>
  <si>
    <t>Library D (µm²/s)</t>
  </si>
  <si>
    <t>Library k (1/s)</t>
  </si>
  <si>
    <t>Optional custom D override</t>
  </si>
  <si>
    <t>Leave blank to use library D.</t>
  </si>
  <si>
    <t>Optional custom k override</t>
  </si>
  <si>
    <t>Leave blank to use library k.</t>
  </si>
  <si>
    <t>Active D (µm²/s)</t>
  </si>
  <si>
    <t>Active values drive all steady-state outputs.</t>
  </si>
  <si>
    <t>Active k (1/s)</t>
  </si>
  <si>
    <t>Outputs</t>
  </si>
  <si>
    <t>Penetration length λ (mm)</t>
  </si>
  <si>
    <t>Consumption half-life ln(2)/k (h)</t>
  </si>
  <si>
    <t>Steady-state centre level (% of boundary)</t>
  </si>
  <si>
    <t>Reachable at threshold M?</t>
  </si>
  <si>
    <t>Green = reachable; red = NR.</t>
  </si>
  <si>
    <t>Critical distance d_crit(M) (mm)</t>
  </si>
  <si>
    <t>Equivalent sphere V_crit(M) (mL)</t>
  </si>
  <si>
    <t>k_crit(d,M) for slab (1/s)</t>
  </si>
  <si>
    <t>k / k_crit margin (slab only)</t>
  </si>
  <si>
    <t>Interpretation</t>
  </si>
  <si>
    <t>Interpretation is based on the slab reachability boundary.</t>
  </si>
  <si>
    <t>Standard clinical distances (library parameter sets)</t>
  </si>
  <si>
    <t>L (cm)</t>
  </si>
  <si>
    <t>d (mm)</t>
  </si>
  <si>
    <t>Steady-state %</t>
  </si>
  <si>
    <t>Reach @1%</t>
  </si>
  <si>
    <t>Reach @10%</t>
  </si>
  <si>
    <t>t₁% (h)</t>
  </si>
  <si>
    <t>t₁₀% (h)</t>
  </si>
  <si>
    <t>Standard-distance times are precomputed for the library parameter sets. If custom D or k overrides are entered, use the Python calculator for time-to-threshold.</t>
  </si>
  <si>
    <t>Key</t>
  </si>
  <si>
    <t>Scenario</t>
  </si>
  <si>
    <t>D (µm²/s)</t>
  </si>
  <si>
    <t>k (1/s)</t>
  </si>
  <si>
    <t>Definition</t>
  </si>
  <si>
    <t>Edaravone | Mid-case</t>
  </si>
  <si>
    <t>D_mid and k_mid</t>
  </si>
  <si>
    <t>Edaravone | Conservative</t>
  </si>
  <si>
    <t>Conservative</t>
  </si>
  <si>
    <t>D_low and k_high</t>
  </si>
  <si>
    <t>Edaravone | Permissive</t>
  </si>
  <si>
    <t>Permissive</t>
  </si>
  <si>
    <t>D_high and k_low</t>
  </si>
  <si>
    <t>Fasudil | Mid-case</t>
  </si>
  <si>
    <t>Fasudil</t>
  </si>
  <si>
    <t>Fasudil | Conservative</t>
  </si>
  <si>
    <t>Fasudil | Permissive</t>
  </si>
  <si>
    <t>MgSO4 | Mid-case</t>
  </si>
  <si>
    <t>MgSO4</t>
  </si>
  <si>
    <t>MgSO4 | Conservative</t>
  </si>
  <si>
    <t>MgSO4 | Permissive</t>
  </si>
  <si>
    <t>Uric Acid | Mid-case</t>
  </si>
  <si>
    <t>Uric Acid</t>
  </si>
  <si>
    <t>Uric Acid | Conservative</t>
  </si>
  <si>
    <t>Uric Acid | Permissive</t>
  </si>
  <si>
    <t>NXY-059 | Mid-case</t>
  </si>
  <si>
    <t>NXY-059</t>
  </si>
  <si>
    <t>NXY-059 | Conservative</t>
  </si>
  <si>
    <t>NXY-059 | Permissive</t>
  </si>
  <si>
    <t>Minocycline | Mid-case</t>
  </si>
  <si>
    <t>Minocycline</t>
  </si>
  <si>
    <t>Minocycline | Conservative</t>
  </si>
  <si>
    <t>Minocycline | Permissive</t>
  </si>
  <si>
    <t>LookupKey</t>
  </si>
  <si>
    <t>L_cm</t>
  </si>
  <si>
    <t>d_mm</t>
  </si>
  <si>
    <t>Css_%</t>
  </si>
  <si>
    <t>Reach_1pct</t>
  </si>
  <si>
    <t>t1%_h</t>
  </si>
  <si>
    <t>Reach_10pct</t>
  </si>
  <si>
    <t>t10%_h</t>
  </si>
  <si>
    <t>Edaravone | Mid-case | L=1 cm</t>
  </si>
  <si>
    <t>Reachable</t>
  </si>
  <si>
    <t>Edaravone | Mid-case | L=2 cm</t>
  </si>
  <si>
    <t>NR</t>
  </si>
  <si>
    <t>Edaravone | Mid-case | L=5 cm</t>
  </si>
  <si>
    <t>Edaravone | Conservative | L=1 cm</t>
  </si>
  <si>
    <t>Edaravone | Conservative | L=2 cm</t>
  </si>
  <si>
    <t>Edaravone | Conservative | L=5 cm</t>
  </si>
  <si>
    <t>Edaravone | Permissive | L=1 cm</t>
  </si>
  <si>
    <t>Edaravone | Permissive | L=2 cm</t>
  </si>
  <si>
    <t>Edaravone | Permissive | L=5 cm</t>
  </si>
  <si>
    <t>Fasudil | Mid-case | L=1 cm</t>
  </si>
  <si>
    <t>Fasudil | Mid-case | L=2 cm</t>
  </si>
  <si>
    <t>Fasudil | Mid-case | L=5 cm</t>
  </si>
  <si>
    <t>Fasudil | Conservative | L=1 cm</t>
  </si>
  <si>
    <t>Fasudil | Conservative | L=2 cm</t>
  </si>
  <si>
    <t>Fasudil | Conservative | L=5 cm</t>
  </si>
  <si>
    <t>Fasudil | Permissive | L=1 cm</t>
  </si>
  <si>
    <t>Fasudil | Permissive | L=2 cm</t>
  </si>
  <si>
    <t>Fasudil | Permissive | L=5 cm</t>
  </si>
  <si>
    <t>MgSO4 | Mid-case | L=1 cm</t>
  </si>
  <si>
    <t>MgSO4 | Mid-case | L=2 cm</t>
  </si>
  <si>
    <t>MgSO4 | Mid-case | L=5 cm</t>
  </si>
  <si>
    <t>MgSO4 | Conservative | L=1 cm</t>
  </si>
  <si>
    <t>MgSO4 | Conservative | L=2 cm</t>
  </si>
  <si>
    <t>MgSO4 | Conservative | L=5 cm</t>
  </si>
  <si>
    <t>MgSO4 | Permissive | L=1 cm</t>
  </si>
  <si>
    <t>MgSO4 | Permissive | L=2 cm</t>
  </si>
  <si>
    <t>MgSO4 | Permissive | L=5 cm</t>
  </si>
  <si>
    <t>Uric Acid | Mid-case | L=1 cm</t>
  </si>
  <si>
    <t>Uric Acid | Mid-case | L=2 cm</t>
  </si>
  <si>
    <t>Uric Acid | Mid-case | L=5 cm</t>
  </si>
  <si>
    <t>Uric Acid | Conservative | L=1 cm</t>
  </si>
  <si>
    <t>Uric Acid | Conservative | L=2 cm</t>
  </si>
  <si>
    <t>Uric Acid | Conservative | L=5 cm</t>
  </si>
  <si>
    <t>Uric Acid | Permissive | L=1 cm</t>
  </si>
  <si>
    <t>Uric Acid | Permissive | L=2 cm</t>
  </si>
  <si>
    <t>Uric Acid | Permissive | L=5 cm</t>
  </si>
  <si>
    <t>NXY-059 | Mid-case | L=1 cm</t>
  </si>
  <si>
    <t>NXY-059 | Mid-case | L=2 cm</t>
  </si>
  <si>
    <t>NXY-059 | Mid-case | L=5 cm</t>
  </si>
  <si>
    <t>NXY-059 | Conservative | L=1 cm</t>
  </si>
  <si>
    <t>NXY-059 | Conservative | L=2 cm</t>
  </si>
  <si>
    <t>NXY-059 | Conservative | L=5 cm</t>
  </si>
  <si>
    <t>NXY-059 | Permissive | L=1 cm</t>
  </si>
  <si>
    <t>NXY-059 | Permissive | L=2 cm</t>
  </si>
  <si>
    <t>NXY-059 | Permissive | L=5 cm</t>
  </si>
  <si>
    <t>Minocycline | Mid-case | L=1 cm</t>
  </si>
  <si>
    <t>Minocycline | Mid-case | L=2 cm</t>
  </si>
  <si>
    <t>Minocycline | Mid-case | L=5 cm</t>
  </si>
  <si>
    <t>Minocycline | Conservative | L=1 cm</t>
  </si>
  <si>
    <t>Minocycline | Conservative | L=2 cm</t>
  </si>
  <si>
    <t>Minocycline | Conservative | L=5 cm</t>
  </si>
  <si>
    <t>Minocycline | Permissive | L=1 cm</t>
  </si>
  <si>
    <t>Minocycline | Permissive | L=2 cm</t>
  </si>
  <si>
    <t>Minocycline | Permissive | L=5 cm</t>
  </si>
  <si>
    <t>Distance sweep (two-sided slab; d = centre-to-rim distance)</t>
  </si>
  <si>
    <t>Equivalent core V (mL)</t>
  </si>
  <si>
    <t>Steady-state centre (% of boundary)</t>
  </si>
  <si>
    <t>Threshold M (%)</t>
  </si>
  <si>
    <t>Reachable?</t>
  </si>
  <si>
    <t>Notes</t>
  </si>
  <si>
    <t>1) Enter either baseline core volume V (mL) or a manual centre-to-rim distance d (mm).</t>
  </si>
  <si>
    <t>2) Distance d is always the distance from the lesion rim to the lesion centre. For slab geometry, the workbook uses d directly.</t>
  </si>
  <si>
    <t>3) Mid-case = D_mid and k_mid; Conservative = D_low and k_high; Permissive = D_high and k_low.</t>
  </si>
  <si>
    <t>4) Reachable means the steady-state centre level Css is at or above the chosen threshold M under constant boundary exposure.</t>
  </si>
  <si>
    <t>5) NR means the threshold is mathematically unattainable at steady state under the selected assumptions.</t>
  </si>
  <si>
    <t>6) Standard clinical-distance times (t₁% and t₁₀%) are precomputed for the library parameter sets only. If custom D/k overrides are used, use the Python calculator for time-to-threshold.</t>
  </si>
  <si>
    <t>7) This workbook is an optimistic upper-bound steady-state screen. Finite or declining systemic exposure will generally reduce centre delivery further.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</si>
</sst>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5"/>
      <name val="Calibri"/>
      <family val="2"/>
    </font>
    <font>
      <sz val="10"/>
      <color rgb="FF666666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9"/>
      <color rgb="FF666666"/>
      <name val="Calibri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3F3F3"/>
      </patternFill>
    </fill>
    <fill>
      <patternFill patternType="solid">
        <fgColor rgb="FFF7F7F7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/>
    <xf numFmtId="0" fontId="5" fillId="3" borderId="1" xfId="0" applyFont="1" applyFill="1" applyBorder="1"/>
    <xf numFmtId="0" fontId="6" fillId="5" borderId="1" xfId="0" applyFont="1" applyFill="1" applyBorder="1" applyAlignment="1">
      <alignment wrapText="1"/>
    </xf>
    <xf numFmtId="164" fontId="5" fillId="3" borderId="1" xfId="0" applyNumberFormat="1" applyFont="1" applyFill="1" applyBorder="1"/>
    <xf numFmtId="0" fontId="0" fillId="0" borderId="1" xfId="0" applyBorder="1"/>
    <xf numFmtId="164" fontId="0" fillId="4" borderId="1" xfId="0" applyNumberFormat="1" applyFill="1" applyBorder="1"/>
    <xf numFmtId="2" fontId="5" fillId="3" borderId="1" xfId="0" applyNumberFormat="1" applyFont="1" applyFill="1" applyBorder="1"/>
    <xf numFmtId="0" fontId="0" fillId="4" borderId="1" xfId="0" applyFill="1" applyBorder="1"/>
    <xf numFmtId="0" fontId="0" fillId="5" borderId="1" xfId="0" applyFill="1" applyBorder="1"/>
    <xf numFmtId="2" fontId="0" fillId="4" borderId="1" xfId="0" applyNumberFormat="1" applyFill="1" applyBorder="1"/>
    <xf numFmtId="11" fontId="0" fillId="4" borderId="1" xfId="0" applyNumberFormat="1" applyFill="1" applyBorder="1"/>
    <xf numFmtId="0" fontId="0" fillId="6" borderId="1" xfId="0" applyFill="1" applyBorder="1"/>
    <xf numFmtId="0" fontId="6" fillId="0" borderId="1" xfId="0" applyFont="1" applyBorder="1"/>
    <xf numFmtId="0" fontId="1" fillId="2" borderId="1" xfId="0" applyFont="1" applyFill="1" applyBorder="1" applyAlignment="1">
      <alignment horizontal="center"/>
    </xf>
    <xf numFmtId="164" fontId="7" fillId="4" borderId="1" xfId="0" applyNumberFormat="1" applyFont="1" applyFill="1" applyBorder="1"/>
    <xf numFmtId="0" fontId="7" fillId="4" borderId="1" xfId="0" applyFont="1" applyFill="1" applyBorder="1"/>
    <xf numFmtId="2" fontId="0" fillId="0" borderId="1" xfId="0" applyNumberFormat="1" applyBorder="1"/>
    <xf numFmtId="11" fontId="0" fillId="0" borderId="1" xfId="0" applyNumberFormat="1" applyBorder="1"/>
    <xf numFmtId="164" fontId="0" fillId="0" borderId="1" xfId="0" applyNumberFormat="1" applyBorder="1"/>
    <xf numFmtId="0" fontId="8" fillId="0" borderId="0" xfId="0" applyFont="1"/>
    <xf numFmtId="0" fontId="9" fillId="0" borderId="0" xfId="0" applyFont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6"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Steady-state centre exposure vs centre-to-rim distance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d_sweep_slab!$C$3</c:f>
              <c:strCache>
                <c:ptCount val="1"/>
                <c:pt idx="0">
                  <c:v>Steady-state centre (% of boundary)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d_sweep_slab!$A$4:$A$18</c:f>
              <c:numCache>
                <c:formatCode>General</c:formatCode>
                <c:ptCount val="1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</c:numCache>
            </c:numRef>
          </c:cat>
          <c:val>
            <c:numRef>
              <c:f>d_sweep_slab!$C$4:$C$18</c:f>
              <c:numCache>
                <c:formatCode>0.0</c:formatCode>
                <c:ptCount val="15"/>
                <c:pt idx="0">
                  <c:v>83.513982574682686</c:v>
                </c:pt>
                <c:pt idx="1">
                  <c:v>53.545974837268616</c:v>
                </c:pt>
                <c:pt idx="2">
                  <c:v>30.534071047451217</c:v>
                </c:pt>
                <c:pt idx="3">
                  <c:v>16.73495656656192</c:v>
                </c:pt>
                <c:pt idx="4">
                  <c:v>9.0619219005784775</c:v>
                </c:pt>
                <c:pt idx="5">
                  <c:v>4.8895825762940293</c:v>
                </c:pt>
                <c:pt idx="6">
                  <c:v>2.6355611222306492</c:v>
                </c:pt>
                <c:pt idx="7">
                  <c:v>1.4201805575206534</c:v>
                </c:pt>
                <c:pt idx="8">
                  <c:v>0.76520189822935414</c:v>
                </c:pt>
                <c:pt idx="9">
                  <c:v>0.41228495228035567</c:v>
                </c:pt>
                <c:pt idx="10">
                  <c:v>0.22213435300575335</c:v>
                </c:pt>
                <c:pt idx="11">
                  <c:v>0.1196831582056507</c:v>
                </c:pt>
                <c:pt idx="12">
                  <c:v>6.4483720163424824E-2</c:v>
                </c:pt>
                <c:pt idx="13">
                  <c:v>3.4742978698476749E-2</c:v>
                </c:pt>
                <c:pt idx="14">
                  <c:v>1.8719058121663659E-2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17-4BD7-88FD-C8E87C6DB784}"/>
            </c:ext>
          </c:extLst>
        </c:ser>
        <c:ser>
          <c:idx val="1"/>
          <c:order val="1"/>
          <c:tx>
            <c:strRef>
              <c:f>d_sweep_slab!$D$3</c:f>
              <c:strCache>
                <c:ptCount val="1"/>
                <c:pt idx="0">
                  <c:v>Threshold M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d_sweep_slab!$A$4:$A$18</c:f>
              <c:numCache>
                <c:formatCode>General</c:formatCode>
                <c:ptCount val="1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</c:numCache>
            </c:numRef>
          </c:cat>
          <c:val>
            <c:numRef>
              <c:f>d_sweep_slab!$D$4:$D$18</c:f>
              <c:numCache>
                <c:formatCode>0.0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17-4BD7-88FD-C8E87C6DB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d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00"/>
        </c:scaling>
        <c:delete val="0"/>
        <c:axPos val="l"/>
        <c:title>
          <c:tx>
            <c:rich>
              <a:bodyPr/>
              <a:lstStyle/>
              <a:p>
                <a:r>
                  <a:t>% of boundary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6</xdr:col>
      <xdr:colOff>0</xdr:colOff>
      <xdr:row>10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selection activeCell="E17" sqref="E17"/>
    </sheetView>
  </sheetViews>
  <sheetFormatPr defaultRowHeight="15" x14ac:dyDescent="0.25"/>
  <cols>
    <col min="1" max="1" width="34" customWidth="1"/>
    <col min="2" max="2" width="18" customWidth="1"/>
    <col min="3" max="3" width="34" customWidth="1"/>
    <col min="4" max="7" width="16" customWidth="1"/>
  </cols>
  <sheetData>
    <row r="1" spans="1:7" ht="19.5" x14ac:dyDescent="0.3">
      <c r="A1" s="22" t="s">
        <v>0</v>
      </c>
      <c r="B1" s="23"/>
      <c r="C1" s="23"/>
      <c r="D1" s="23"/>
      <c r="E1" s="23"/>
      <c r="F1" s="23"/>
      <c r="G1" s="23"/>
    </row>
    <row r="2" spans="1:7" x14ac:dyDescent="0.25">
      <c r="A2" s="25" t="s">
        <v>1</v>
      </c>
      <c r="B2" s="23"/>
      <c r="C2" s="23"/>
      <c r="D2" s="23"/>
      <c r="E2" s="23"/>
      <c r="F2" s="23"/>
      <c r="G2" s="23"/>
    </row>
    <row r="4" spans="1:7" x14ac:dyDescent="0.25">
      <c r="A4" s="24" t="s">
        <v>2</v>
      </c>
      <c r="B4" s="23"/>
      <c r="C4" s="23"/>
    </row>
    <row r="5" spans="1:7" x14ac:dyDescent="0.25">
      <c r="A5" s="1" t="s">
        <v>3</v>
      </c>
      <c r="B5" s="2" t="s">
        <v>70</v>
      </c>
      <c r="C5" s="3" t="s">
        <v>5</v>
      </c>
    </row>
    <row r="6" spans="1:7" ht="36.75" x14ac:dyDescent="0.25">
      <c r="A6" s="1" t="s">
        <v>6</v>
      </c>
      <c r="B6" s="2" t="s">
        <v>7</v>
      </c>
      <c r="C6" s="3" t="s">
        <v>8</v>
      </c>
    </row>
    <row r="7" spans="1:7" ht="24.75" x14ac:dyDescent="0.25">
      <c r="A7" s="1" t="s">
        <v>9</v>
      </c>
      <c r="B7" s="2" t="s">
        <v>10</v>
      </c>
      <c r="C7" s="3" t="s">
        <v>11</v>
      </c>
    </row>
    <row r="8" spans="1:7" ht="24.75" x14ac:dyDescent="0.25">
      <c r="A8" s="1" t="s">
        <v>12</v>
      </c>
      <c r="B8" s="4">
        <v>65</v>
      </c>
      <c r="C8" s="3" t="s">
        <v>13</v>
      </c>
    </row>
    <row r="9" spans="1:7" x14ac:dyDescent="0.25">
      <c r="A9" s="1" t="s">
        <v>14</v>
      </c>
      <c r="B9" s="4" t="s">
        <v>15</v>
      </c>
      <c r="C9" s="3" t="s">
        <v>16</v>
      </c>
    </row>
    <row r="10" spans="1:7" ht="24.75" x14ac:dyDescent="0.25">
      <c r="A10" s="5" t="s">
        <v>17</v>
      </c>
      <c r="B10" s="6">
        <f>IF(B9&lt;&gt;"",B9,IF(B8&lt;&gt;"",(3*B8*1000/(4*PI()))^(1/3),""))</f>
        <v>24.942591981125844</v>
      </c>
      <c r="C10" s="3" t="s">
        <v>18</v>
      </c>
    </row>
    <row r="11" spans="1:7" x14ac:dyDescent="0.25">
      <c r="A11" s="1" t="s">
        <v>19</v>
      </c>
      <c r="B11" s="7">
        <v>0.01</v>
      </c>
      <c r="C11" s="3" t="s">
        <v>20</v>
      </c>
    </row>
    <row r="12" spans="1:7" x14ac:dyDescent="0.25">
      <c r="A12" s="5" t="s">
        <v>21</v>
      </c>
      <c r="B12" s="8" t="str">
        <f>B5&amp;" | "&amp;B6</f>
        <v>MgSO4 | Mid-case</v>
      </c>
      <c r="C12" s="9"/>
    </row>
    <row r="13" spans="1:7" x14ac:dyDescent="0.25">
      <c r="A13" s="5" t="s">
        <v>22</v>
      </c>
      <c r="B13" s="10">
        <f>VLOOKUP(B12,DrugParams!$A$2:$F$19,4,FALSE)</f>
        <v>387.28</v>
      </c>
      <c r="C13" s="9"/>
    </row>
    <row r="14" spans="1:7" x14ac:dyDescent="0.25">
      <c r="A14" s="5" t="s">
        <v>23</v>
      </c>
      <c r="B14" s="11">
        <f>VLOOKUP(B12,DrugParams!$A$2:$F$19,5,FALSE)</f>
        <v>3.7030000000000003E-5</v>
      </c>
      <c r="C14" s="9"/>
    </row>
    <row r="15" spans="1:7" x14ac:dyDescent="0.25">
      <c r="A15" s="1" t="s">
        <v>24</v>
      </c>
      <c r="B15" s="2"/>
      <c r="C15" s="3" t="s">
        <v>25</v>
      </c>
    </row>
    <row r="16" spans="1:7" x14ac:dyDescent="0.25">
      <c r="A16" s="1" t="s">
        <v>26</v>
      </c>
      <c r="B16" s="2"/>
      <c r="C16" s="3" t="s">
        <v>27</v>
      </c>
    </row>
    <row r="17" spans="1:7" ht="24.75" x14ac:dyDescent="0.25">
      <c r="A17" s="5" t="s">
        <v>28</v>
      </c>
      <c r="B17" s="10">
        <f>IF(B15="",B13,B15)</f>
        <v>387.28</v>
      </c>
      <c r="C17" s="3" t="s">
        <v>29</v>
      </c>
    </row>
    <row r="18" spans="1:7" x14ac:dyDescent="0.25">
      <c r="A18" s="5" t="s">
        <v>30</v>
      </c>
      <c r="B18" s="11">
        <f>IF(B16="",B14,B16)</f>
        <v>3.7030000000000003E-5</v>
      </c>
      <c r="C18" s="9"/>
    </row>
    <row r="20" spans="1:7" x14ac:dyDescent="0.25">
      <c r="A20" s="24" t="s">
        <v>31</v>
      </c>
      <c r="B20" s="23"/>
      <c r="C20" s="23"/>
    </row>
    <row r="21" spans="1:7" x14ac:dyDescent="0.25">
      <c r="A21" s="5" t="s">
        <v>32</v>
      </c>
      <c r="B21" s="6">
        <f>SQRT((B17/1000000)/B18)</f>
        <v>3.2339677060777139</v>
      </c>
      <c r="C21" s="5"/>
    </row>
    <row r="22" spans="1:7" x14ac:dyDescent="0.25">
      <c r="A22" s="5" t="s">
        <v>33</v>
      </c>
      <c r="B22" s="6">
        <f>LN(2)/B18/3600</f>
        <v>5.19959177663715</v>
      </c>
      <c r="C22" s="5"/>
    </row>
    <row r="23" spans="1:7" x14ac:dyDescent="0.25">
      <c r="A23" s="5" t="s">
        <v>34</v>
      </c>
      <c r="B23" s="6">
        <f>IF(B7="Slab",100/COSH(B10/B21),IF(B7="Cylinder",100/BESSELI(B10/B21,0),100*(B10/B21)/SINH(B10/B21)))</f>
        <v>8.9423360634446905E-2</v>
      </c>
      <c r="C23" s="5"/>
    </row>
    <row r="24" spans="1:7" x14ac:dyDescent="0.25">
      <c r="A24" s="5" t="s">
        <v>35</v>
      </c>
      <c r="B24" s="12" t="str">
        <f>IF(B23/100&gt;=B11,"Reachable","NR (Css&lt;M)")</f>
        <v>NR (Css&lt;M)</v>
      </c>
      <c r="C24" s="13" t="s">
        <v>36</v>
      </c>
    </row>
    <row r="25" spans="1:7" x14ac:dyDescent="0.25">
      <c r="A25" s="5" t="s">
        <v>37</v>
      </c>
      <c r="B25" s="6">
        <f>B21*ACOSH(1/B11)</f>
        <v>17.134506407742403</v>
      </c>
      <c r="C25" s="5"/>
    </row>
    <row r="26" spans="1:7" x14ac:dyDescent="0.25">
      <c r="A26" s="5" t="s">
        <v>38</v>
      </c>
      <c r="B26" s="6">
        <f>4*PI()/3*POWER(B25,3)/1000</f>
        <v>21.071885806920271</v>
      </c>
      <c r="C26" s="5"/>
    </row>
    <row r="27" spans="1:7" x14ac:dyDescent="0.25">
      <c r="A27" s="5" t="s">
        <v>39</v>
      </c>
      <c r="B27" s="11">
        <f>IF(B7&lt;&gt;"Slab","(slab only)",(B17/1000000)/POWER((B10/ACOSH(1/B11)),2))</f>
        <v>1.7474861553269999E-5</v>
      </c>
      <c r="C27" s="5"/>
    </row>
    <row r="28" spans="1:7" x14ac:dyDescent="0.25">
      <c r="A28" s="5" t="s">
        <v>40</v>
      </c>
      <c r="B28" s="10">
        <f>IF(B7&lt;&gt;"Slab","(slab only)",B18/B27)</f>
        <v>2.1190439699403929</v>
      </c>
      <c r="C28" s="5"/>
    </row>
    <row r="29" spans="1:7" x14ac:dyDescent="0.25">
      <c r="A29" s="5" t="s">
        <v>41</v>
      </c>
      <c r="B29" s="8" t="str">
        <f>IF(B7&lt;&gt;"Slab","Use steady-state % + d_crit for non-slab geometries",IF(B28&lt;=1,"Reachable at steady state","NR at steady state"))</f>
        <v>NR at steady state</v>
      </c>
      <c r="C29" s="13" t="s">
        <v>42</v>
      </c>
    </row>
    <row r="31" spans="1:7" x14ac:dyDescent="0.25">
      <c r="A31" s="24" t="s">
        <v>43</v>
      </c>
      <c r="B31" s="23"/>
      <c r="C31" s="23"/>
    </row>
    <row r="32" spans="1:7" x14ac:dyDescent="0.25">
      <c r="A32" s="14" t="s">
        <v>44</v>
      </c>
      <c r="B32" s="14" t="s">
        <v>45</v>
      </c>
      <c r="C32" s="14" t="s">
        <v>46</v>
      </c>
      <c r="D32" s="14" t="s">
        <v>47</v>
      </c>
      <c r="E32" s="14" t="s">
        <v>48</v>
      </c>
      <c r="F32" s="14" t="s">
        <v>49</v>
      </c>
      <c r="G32" s="14" t="s">
        <v>50</v>
      </c>
    </row>
    <row r="33" spans="1:7" x14ac:dyDescent="0.25">
      <c r="A33" s="2">
        <v>1</v>
      </c>
      <c r="B33" s="15">
        <f>A33*5</f>
        <v>5</v>
      </c>
      <c r="C33" s="15">
        <f>IF(B7="Slab",100/COSH(B33/B21),IF(B7="Cylinder",100/BESSELI(B33/B21,0),100*(B33/B21)/SINH(B33/B21)))</f>
        <v>40.765106568284821</v>
      </c>
      <c r="D33" s="16" t="str">
        <f>IF(C33&gt;=1,"Reachable","NR")</f>
        <v>Reachable</v>
      </c>
      <c r="E33" s="16" t="str">
        <f>IF(C33&gt;=10,"Reachable","NR")</f>
        <v>Reachable</v>
      </c>
      <c r="F33" s="15">
        <f>IF(COUNTA($B$15:$B$16)&gt;0,"Use Python",VLOOKUP($B$12&amp;" | L="&amp;A33&amp;" cm",ClinicalLookup!$A$2:$J$55,8,FALSE))</f>
        <v>1.1729015531167679</v>
      </c>
      <c r="G33" s="15">
        <f>IF(COUNTA($B$15:$B$16)&gt;0,"Use Python",VLOOKUP($B$12&amp;" | L="&amp;A33&amp;" cm",ClinicalLookup!$A$2:$J$55,10,FALSE))</f>
        <v>2.618081518508816</v>
      </c>
    </row>
    <row r="34" spans="1:7" x14ac:dyDescent="0.25">
      <c r="A34" s="2">
        <v>2</v>
      </c>
      <c r="B34" s="15">
        <f>A34*5</f>
        <v>10</v>
      </c>
      <c r="C34" s="15">
        <f>IF(B7="Slab",100/COSH(B34/B21),IF(B7="Cylinder",100/BESSELI(B34/B21,0),100*(B34/B21)/SINH(B34/B21)))</f>
        <v>9.0619219005784775</v>
      </c>
      <c r="D34" s="16" t="str">
        <f>IF(C34&gt;=1,"Reachable","NR")</f>
        <v>Reachable</v>
      </c>
      <c r="E34" s="16" t="str">
        <f>IF(C34&gt;=10,"Reachable","NR")</f>
        <v>NR</v>
      </c>
      <c r="F34" s="15">
        <f>IF(COUNTA($B$15:$B$16)&gt;0,"Use Python",VLOOKUP($B$12&amp;" | L="&amp;A34&amp;" cm",ClinicalLookup!$A$2:$J$55,8,FALSE))</f>
        <v>5.2257932015642901</v>
      </c>
      <c r="G34" s="15">
        <f>IF(COUNTA($B$15:$B$16)&gt;0,"Use Python",VLOOKUP($B$12&amp;" | L="&amp;A34&amp;" cm",ClinicalLookup!$A$2:$J$55,10,FALSE))</f>
        <v>0</v>
      </c>
    </row>
    <row r="35" spans="1:7" x14ac:dyDescent="0.25">
      <c r="A35" s="2">
        <v>5</v>
      </c>
      <c r="B35" s="15">
        <f>A35*5</f>
        <v>25</v>
      </c>
      <c r="C35" s="15">
        <f>IF(B7="Slab",100/COSH(B35/B21),IF(B7="Cylinder",100/BESSELI(B35/B21,0),100*(B35/B21)/SINH(B35/B21)))</f>
        <v>8.7849962264611794E-2</v>
      </c>
      <c r="D35" s="16" t="str">
        <f>IF(C35&gt;=1,"Reachable","NR")</f>
        <v>NR</v>
      </c>
      <c r="E35" s="16" t="str">
        <f>IF(C35&gt;=10,"Reachable","NR")</f>
        <v>NR</v>
      </c>
      <c r="F35" s="15">
        <f>IF(COUNTA($B$15:$B$16)&gt;0,"Use Python",VLOOKUP($B$12&amp;" | L="&amp;A35&amp;" cm",ClinicalLookup!$A$2:$J$55,8,FALSE))</f>
        <v>0</v>
      </c>
      <c r="G35" s="15">
        <f>IF(COUNTA($B$15:$B$16)&gt;0,"Use Python",VLOOKUP($B$12&amp;" | L="&amp;A35&amp;" cm",ClinicalLookup!$A$2:$J$55,10,FALSE))</f>
        <v>0</v>
      </c>
    </row>
    <row r="37" spans="1:7" x14ac:dyDescent="0.25">
      <c r="A37" s="26" t="s">
        <v>51</v>
      </c>
      <c r="B37" s="23"/>
      <c r="C37" s="23"/>
      <c r="D37" s="23"/>
      <c r="E37" s="23"/>
      <c r="F37" s="23"/>
      <c r="G37" s="23"/>
    </row>
  </sheetData>
  <mergeCells count="6">
    <mergeCell ref="A37:G37"/>
    <mergeCell ref="A1:G1"/>
    <mergeCell ref="A31:C31"/>
    <mergeCell ref="A2:G2"/>
    <mergeCell ref="A4:C4"/>
    <mergeCell ref="A20:C20"/>
  </mergeCells>
  <conditionalFormatting sqref="B24">
    <cfRule type="expression" dxfId="5" priority="1">
      <formula>ISNUMBER(SEARCH("Reachable",B24))</formula>
    </cfRule>
    <cfRule type="expression" dxfId="4" priority="2">
      <formula>ISNUMBER(SEARCH("NR",B24))</formula>
    </cfRule>
  </conditionalFormatting>
  <conditionalFormatting sqref="D33:D35">
    <cfRule type="expression" dxfId="3" priority="3">
      <formula>ISNUMBER(SEARCH("Reachable",D33))</formula>
    </cfRule>
    <cfRule type="expression" dxfId="2" priority="4">
      <formula>ISNUMBER(SEARCH("NR",D33))</formula>
    </cfRule>
  </conditionalFormatting>
  <conditionalFormatting sqref="E33:E35">
    <cfRule type="expression" dxfId="1" priority="5">
      <formula>ISNUMBER(SEARCH("Reachable",E33))</formula>
    </cfRule>
    <cfRule type="expression" dxfId="0" priority="6">
      <formula>ISNUMBER(SEARCH("NR",E33))</formula>
    </cfRule>
  </conditionalFormatting>
  <dataValidations count="3">
    <dataValidation type="list" sqref="B5" xr:uid="{00000000-0002-0000-0000-000000000000}">
      <formula1>"Edaravone,Fasudil,MgSO4,Uric Acid,NXY-059,Minocycline"</formula1>
    </dataValidation>
    <dataValidation type="list" sqref="B6" xr:uid="{00000000-0002-0000-0000-000001000000}">
      <formula1>"Mid-case,Conservative,Permissive"</formula1>
    </dataValidation>
    <dataValidation type="list" sqref="B7" xr:uid="{00000000-0002-0000-0000-000002000000}">
      <formula1>"Slab,Cylinder,Sphere"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/>
  </sheetViews>
  <sheetFormatPr defaultRowHeight="15" x14ac:dyDescent="0.25"/>
  <cols>
    <col min="1" max="1" width="28" customWidth="1"/>
    <col min="2" max="3" width="16" customWidth="1"/>
    <col min="4" max="5" width="14" customWidth="1"/>
    <col min="6" max="6" width="26" customWidth="1"/>
  </cols>
  <sheetData>
    <row r="1" spans="1:6" x14ac:dyDescent="0.25">
      <c r="A1" s="14" t="s">
        <v>52</v>
      </c>
      <c r="B1" s="14" t="s">
        <v>3</v>
      </c>
      <c r="C1" s="14" t="s">
        <v>53</v>
      </c>
      <c r="D1" s="14" t="s">
        <v>54</v>
      </c>
      <c r="E1" s="14" t="s">
        <v>55</v>
      </c>
      <c r="F1" s="14" t="s">
        <v>56</v>
      </c>
    </row>
    <row r="2" spans="1:6" x14ac:dyDescent="0.25">
      <c r="A2" s="5" t="s">
        <v>57</v>
      </c>
      <c r="B2" s="5" t="s">
        <v>4</v>
      </c>
      <c r="C2" s="5" t="s">
        <v>7</v>
      </c>
      <c r="D2" s="17">
        <v>342.39</v>
      </c>
      <c r="E2" s="18">
        <v>3.4999999999999997E-5</v>
      </c>
      <c r="F2" s="5" t="s">
        <v>58</v>
      </c>
    </row>
    <row r="3" spans="1:6" x14ac:dyDescent="0.25">
      <c r="A3" s="5" t="s">
        <v>59</v>
      </c>
      <c r="B3" s="5" t="s">
        <v>4</v>
      </c>
      <c r="C3" s="5" t="s">
        <v>60</v>
      </c>
      <c r="D3" s="17">
        <v>171.19</v>
      </c>
      <c r="E3" s="18">
        <v>3.5E-4</v>
      </c>
      <c r="F3" s="5" t="s">
        <v>61</v>
      </c>
    </row>
    <row r="4" spans="1:6" x14ac:dyDescent="0.25">
      <c r="A4" s="5" t="s">
        <v>62</v>
      </c>
      <c r="B4" s="5" t="s">
        <v>4</v>
      </c>
      <c r="C4" s="5" t="s">
        <v>63</v>
      </c>
      <c r="D4" s="17">
        <v>684.78</v>
      </c>
      <c r="E4" s="18">
        <v>7.0399999999999995E-7</v>
      </c>
      <c r="F4" s="5" t="s">
        <v>64</v>
      </c>
    </row>
    <row r="5" spans="1:6" x14ac:dyDescent="0.25">
      <c r="A5" s="5" t="s">
        <v>65</v>
      </c>
      <c r="B5" s="5" t="s">
        <v>66</v>
      </c>
      <c r="C5" s="5" t="s">
        <v>7</v>
      </c>
      <c r="D5" s="17">
        <v>288.44</v>
      </c>
      <c r="E5" s="18">
        <v>4.8099999999999998E-4</v>
      </c>
      <c r="F5" s="5" t="s">
        <v>58</v>
      </c>
    </row>
    <row r="6" spans="1:6" x14ac:dyDescent="0.25">
      <c r="A6" s="5" t="s">
        <v>67</v>
      </c>
      <c r="B6" s="5" t="s">
        <v>66</v>
      </c>
      <c r="C6" s="5" t="s">
        <v>60</v>
      </c>
      <c r="D6" s="17">
        <v>144.22</v>
      </c>
      <c r="E6" s="18">
        <v>4.81E-3</v>
      </c>
      <c r="F6" s="5" t="s">
        <v>61</v>
      </c>
    </row>
    <row r="7" spans="1:6" x14ac:dyDescent="0.25">
      <c r="A7" s="5" t="s">
        <v>68</v>
      </c>
      <c r="B7" s="5" t="s">
        <v>66</v>
      </c>
      <c r="C7" s="5" t="s">
        <v>63</v>
      </c>
      <c r="D7" s="17">
        <v>576.88</v>
      </c>
      <c r="E7" s="18">
        <v>4.8099999999999997E-5</v>
      </c>
      <c r="F7" s="5" t="s">
        <v>64</v>
      </c>
    </row>
    <row r="8" spans="1:6" x14ac:dyDescent="0.25">
      <c r="A8" s="5" t="s">
        <v>69</v>
      </c>
      <c r="B8" s="5" t="s">
        <v>70</v>
      </c>
      <c r="C8" s="5" t="s">
        <v>7</v>
      </c>
      <c r="D8" s="17">
        <v>387.28</v>
      </c>
      <c r="E8" s="18">
        <v>3.7030000000000003E-5</v>
      </c>
      <c r="F8" s="5" t="s">
        <v>58</v>
      </c>
    </row>
    <row r="9" spans="1:6" x14ac:dyDescent="0.25">
      <c r="A9" s="5" t="s">
        <v>71</v>
      </c>
      <c r="B9" s="5" t="s">
        <v>70</v>
      </c>
      <c r="C9" s="5" t="s">
        <v>60</v>
      </c>
      <c r="D9" s="17">
        <v>193.64</v>
      </c>
      <c r="E9" s="18">
        <v>3.703E-4</v>
      </c>
      <c r="F9" s="5" t="s">
        <v>61</v>
      </c>
    </row>
    <row r="10" spans="1:6" x14ac:dyDescent="0.25">
      <c r="A10" s="5" t="s">
        <v>72</v>
      </c>
      <c r="B10" s="5" t="s">
        <v>70</v>
      </c>
      <c r="C10" s="5" t="s">
        <v>63</v>
      </c>
      <c r="D10" s="17">
        <v>774.56</v>
      </c>
      <c r="E10" s="18">
        <v>3.703E-6</v>
      </c>
      <c r="F10" s="5" t="s">
        <v>64</v>
      </c>
    </row>
    <row r="11" spans="1:6" x14ac:dyDescent="0.25">
      <c r="A11" s="5" t="s">
        <v>73</v>
      </c>
      <c r="B11" s="5" t="s">
        <v>74</v>
      </c>
      <c r="C11" s="5" t="s">
        <v>7</v>
      </c>
      <c r="D11" s="17">
        <v>346.47</v>
      </c>
      <c r="E11" s="18">
        <v>1.44E-4</v>
      </c>
      <c r="F11" s="5" t="s">
        <v>58</v>
      </c>
    </row>
    <row r="12" spans="1:6" x14ac:dyDescent="0.25">
      <c r="A12" s="5" t="s">
        <v>75</v>
      </c>
      <c r="B12" s="5" t="s">
        <v>74</v>
      </c>
      <c r="C12" s="5" t="s">
        <v>60</v>
      </c>
      <c r="D12" s="17">
        <v>173.24</v>
      </c>
      <c r="E12" s="18">
        <v>1.4400000000000001E-3</v>
      </c>
      <c r="F12" s="5" t="s">
        <v>61</v>
      </c>
    </row>
    <row r="13" spans="1:6" x14ac:dyDescent="0.25">
      <c r="A13" s="5" t="s">
        <v>76</v>
      </c>
      <c r="B13" s="5" t="s">
        <v>74</v>
      </c>
      <c r="C13" s="5" t="s">
        <v>63</v>
      </c>
      <c r="D13" s="17">
        <v>692.94</v>
      </c>
      <c r="E13" s="18">
        <v>1.4399999999999999E-5</v>
      </c>
      <c r="F13" s="5" t="s">
        <v>64</v>
      </c>
    </row>
    <row r="14" spans="1:6" x14ac:dyDescent="0.25">
      <c r="A14" s="5" t="s">
        <v>77</v>
      </c>
      <c r="B14" s="5" t="s">
        <v>78</v>
      </c>
      <c r="C14" s="5" t="s">
        <v>7</v>
      </c>
      <c r="D14" s="17">
        <v>263.7</v>
      </c>
      <c r="E14" s="18">
        <v>3.8300000000000002E-9</v>
      </c>
      <c r="F14" s="5" t="s">
        <v>58</v>
      </c>
    </row>
    <row r="15" spans="1:6" x14ac:dyDescent="0.25">
      <c r="A15" s="5" t="s">
        <v>79</v>
      </c>
      <c r="B15" s="5" t="s">
        <v>78</v>
      </c>
      <c r="C15" s="5" t="s">
        <v>60</v>
      </c>
      <c r="D15" s="17">
        <v>131.85</v>
      </c>
      <c r="E15" s="18">
        <v>3.8299999999999999E-8</v>
      </c>
      <c r="F15" s="5" t="s">
        <v>61</v>
      </c>
    </row>
    <row r="16" spans="1:6" x14ac:dyDescent="0.25">
      <c r="A16" s="5" t="s">
        <v>80</v>
      </c>
      <c r="B16" s="5" t="s">
        <v>78</v>
      </c>
      <c r="C16" s="5" t="s">
        <v>63</v>
      </c>
      <c r="D16" s="17">
        <v>527.4</v>
      </c>
      <c r="E16" s="18">
        <v>3.8300000000000002E-10</v>
      </c>
      <c r="F16" s="5" t="s">
        <v>64</v>
      </c>
    </row>
    <row r="17" spans="1:6" x14ac:dyDescent="0.25">
      <c r="A17" s="5" t="s">
        <v>81</v>
      </c>
      <c r="B17" s="5" t="s">
        <v>82</v>
      </c>
      <c r="C17" s="5" t="s">
        <v>7</v>
      </c>
      <c r="D17" s="17">
        <v>248.16</v>
      </c>
      <c r="E17" s="18">
        <v>8.3699999999999995E-6</v>
      </c>
      <c r="F17" s="5" t="s">
        <v>58</v>
      </c>
    </row>
    <row r="18" spans="1:6" x14ac:dyDescent="0.25">
      <c r="A18" s="5" t="s">
        <v>83</v>
      </c>
      <c r="B18" s="5" t="s">
        <v>82</v>
      </c>
      <c r="C18" s="5" t="s">
        <v>60</v>
      </c>
      <c r="D18" s="17">
        <v>124.08</v>
      </c>
      <c r="E18" s="18">
        <v>8.3700000000000002E-5</v>
      </c>
      <c r="F18" s="5" t="s">
        <v>61</v>
      </c>
    </row>
    <row r="19" spans="1:6" x14ac:dyDescent="0.25">
      <c r="A19" s="5" t="s">
        <v>84</v>
      </c>
      <c r="B19" s="5" t="s">
        <v>82</v>
      </c>
      <c r="C19" s="5" t="s">
        <v>63</v>
      </c>
      <c r="D19" s="17">
        <v>496.32</v>
      </c>
      <c r="E19" s="18">
        <v>8.3699999999999999E-7</v>
      </c>
      <c r="F19" s="5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5"/>
  <sheetViews>
    <sheetView showGridLines="0" workbookViewId="0"/>
  </sheetViews>
  <sheetFormatPr defaultRowHeight="15" x14ac:dyDescent="0.25"/>
  <cols>
    <col min="1" max="1" width="32" customWidth="1"/>
    <col min="2" max="3" width="16" customWidth="1"/>
    <col min="4" max="5" width="10" customWidth="1"/>
    <col min="6" max="6" width="16" customWidth="1"/>
    <col min="7" max="7" width="14" customWidth="1"/>
    <col min="8" max="8" width="12" customWidth="1"/>
    <col min="9" max="9" width="14" customWidth="1"/>
    <col min="10" max="10" width="12" customWidth="1"/>
  </cols>
  <sheetData>
    <row r="1" spans="1:10" x14ac:dyDescent="0.25">
      <c r="A1" s="14" t="s">
        <v>85</v>
      </c>
      <c r="B1" s="14" t="s">
        <v>3</v>
      </c>
      <c r="C1" s="14" t="s">
        <v>53</v>
      </c>
      <c r="D1" s="14" t="s">
        <v>86</v>
      </c>
      <c r="E1" s="14" t="s">
        <v>87</v>
      </c>
      <c r="F1" s="14" t="s">
        <v>88</v>
      </c>
      <c r="G1" s="14" t="s">
        <v>89</v>
      </c>
      <c r="H1" s="14" t="s">
        <v>90</v>
      </c>
      <c r="I1" s="14" t="s">
        <v>91</v>
      </c>
      <c r="J1" s="14" t="s">
        <v>92</v>
      </c>
    </row>
    <row r="2" spans="1:10" x14ac:dyDescent="0.25">
      <c r="A2" s="5" t="s">
        <v>93</v>
      </c>
      <c r="B2" s="5" t="s">
        <v>4</v>
      </c>
      <c r="C2" s="5" t="s">
        <v>7</v>
      </c>
      <c r="D2" s="5">
        <v>1</v>
      </c>
      <c r="E2" s="5">
        <v>5</v>
      </c>
      <c r="F2" s="19">
        <v>38.847422644607192</v>
      </c>
      <c r="G2" s="5" t="s">
        <v>94</v>
      </c>
      <c r="H2" s="19">
        <v>1.3294509005626991</v>
      </c>
      <c r="I2" s="5" t="s">
        <v>94</v>
      </c>
      <c r="J2" s="19">
        <v>2.9887820278793882</v>
      </c>
    </row>
    <row r="3" spans="1:10" x14ac:dyDescent="0.25">
      <c r="A3" s="5" t="s">
        <v>95</v>
      </c>
      <c r="B3" s="5" t="s">
        <v>4</v>
      </c>
      <c r="C3" s="5" t="s">
        <v>7</v>
      </c>
      <c r="D3" s="5">
        <v>2</v>
      </c>
      <c r="E3" s="5">
        <v>10</v>
      </c>
      <c r="F3" s="19">
        <v>8.1614419078228408</v>
      </c>
      <c r="G3" s="5" t="s">
        <v>94</v>
      </c>
      <c r="H3" s="19">
        <v>5.9804099083582543</v>
      </c>
      <c r="I3" s="5" t="s">
        <v>96</v>
      </c>
      <c r="J3" s="5"/>
    </row>
    <row r="4" spans="1:10" x14ac:dyDescent="0.25">
      <c r="A4" s="5" t="s">
        <v>97</v>
      </c>
      <c r="B4" s="5" t="s">
        <v>4</v>
      </c>
      <c r="C4" s="5" t="s">
        <v>7</v>
      </c>
      <c r="D4" s="5">
        <v>5</v>
      </c>
      <c r="E4" s="5">
        <v>25</v>
      </c>
      <c r="F4" s="19">
        <v>6.755923493626477E-2</v>
      </c>
      <c r="G4" s="5" t="s">
        <v>96</v>
      </c>
      <c r="H4" s="5"/>
      <c r="I4" s="5" t="s">
        <v>96</v>
      </c>
      <c r="J4" s="5"/>
    </row>
    <row r="5" spans="1:10" x14ac:dyDescent="0.25">
      <c r="A5" s="5" t="s">
        <v>98</v>
      </c>
      <c r="B5" s="5" t="s">
        <v>4</v>
      </c>
      <c r="C5" s="5" t="s">
        <v>60</v>
      </c>
      <c r="D5" s="5">
        <v>1</v>
      </c>
      <c r="E5" s="5">
        <v>5</v>
      </c>
      <c r="F5" s="19">
        <v>0.15707925349630439</v>
      </c>
      <c r="G5" s="5" t="s">
        <v>96</v>
      </c>
      <c r="H5" s="5"/>
      <c r="I5" s="5" t="s">
        <v>96</v>
      </c>
      <c r="J5" s="5"/>
    </row>
    <row r="6" spans="1:10" x14ac:dyDescent="0.25">
      <c r="A6" s="5" t="s">
        <v>99</v>
      </c>
      <c r="B6" s="5" t="s">
        <v>4</v>
      </c>
      <c r="C6" s="5" t="s">
        <v>60</v>
      </c>
      <c r="D6" s="5">
        <v>2</v>
      </c>
      <c r="E6" s="5">
        <v>10</v>
      </c>
      <c r="F6" s="19">
        <v>1.2336961159520421E-4</v>
      </c>
      <c r="G6" s="5" t="s">
        <v>96</v>
      </c>
      <c r="H6" s="5"/>
      <c r="I6" s="5" t="s">
        <v>96</v>
      </c>
      <c r="J6" s="5"/>
    </row>
    <row r="7" spans="1:10" x14ac:dyDescent="0.25">
      <c r="A7" s="5" t="s">
        <v>100</v>
      </c>
      <c r="B7" s="5" t="s">
        <v>4</v>
      </c>
      <c r="C7" s="5" t="s">
        <v>60</v>
      </c>
      <c r="D7" s="5">
        <v>5</v>
      </c>
      <c r="E7" s="5">
        <v>25</v>
      </c>
      <c r="F7" s="19">
        <v>5.9768932625427388E-14</v>
      </c>
      <c r="G7" s="5" t="s">
        <v>96</v>
      </c>
      <c r="H7" s="5"/>
      <c r="I7" s="5" t="s">
        <v>96</v>
      </c>
      <c r="J7" s="5"/>
    </row>
    <row r="8" spans="1:10" x14ac:dyDescent="0.25">
      <c r="A8" s="5" t="s">
        <v>101</v>
      </c>
      <c r="B8" s="5" t="s">
        <v>4</v>
      </c>
      <c r="C8" s="5" t="s">
        <v>63</v>
      </c>
      <c r="D8" s="5">
        <v>1</v>
      </c>
      <c r="E8" s="5">
        <v>5</v>
      </c>
      <c r="F8" s="19">
        <v>98.72853539497693</v>
      </c>
      <c r="G8" s="5" t="s">
        <v>94</v>
      </c>
      <c r="H8" s="19">
        <v>0.64378327251865319</v>
      </c>
      <c r="I8" s="5" t="s">
        <v>94</v>
      </c>
      <c r="J8" s="19">
        <v>1.321446032215231</v>
      </c>
    </row>
    <row r="9" spans="1:10" x14ac:dyDescent="0.25">
      <c r="A9" s="5" t="s">
        <v>102</v>
      </c>
      <c r="B9" s="5" t="s">
        <v>4</v>
      </c>
      <c r="C9" s="5" t="s">
        <v>63</v>
      </c>
      <c r="D9" s="5">
        <v>2</v>
      </c>
      <c r="E9" s="5">
        <v>10</v>
      </c>
      <c r="F9" s="19">
        <v>95.071017724547133</v>
      </c>
      <c r="G9" s="5" t="s">
        <v>94</v>
      </c>
      <c r="H9" s="19">
        <v>2.5774680165452808</v>
      </c>
      <c r="I9" s="5" t="s">
        <v>94</v>
      </c>
      <c r="J9" s="19">
        <v>5.3030126658827417</v>
      </c>
    </row>
    <row r="10" spans="1:10" x14ac:dyDescent="0.25">
      <c r="A10" s="5" t="s">
        <v>103</v>
      </c>
      <c r="B10" s="5" t="s">
        <v>4</v>
      </c>
      <c r="C10" s="5" t="s">
        <v>63</v>
      </c>
      <c r="D10" s="5">
        <v>5</v>
      </c>
      <c r="E10" s="5">
        <v>25</v>
      </c>
      <c r="F10" s="19">
        <v>74.691173437382687</v>
      </c>
      <c r="G10" s="5" t="s">
        <v>94</v>
      </c>
      <c r="H10" s="19">
        <v>16.21680381560213</v>
      </c>
      <c r="I10" s="5" t="s">
        <v>94</v>
      </c>
      <c r="J10" s="19">
        <v>33.934081824870489</v>
      </c>
    </row>
    <row r="11" spans="1:10" x14ac:dyDescent="0.25">
      <c r="A11" s="5" t="s">
        <v>104</v>
      </c>
      <c r="B11" s="5" t="s">
        <v>66</v>
      </c>
      <c r="C11" s="5" t="s">
        <v>7</v>
      </c>
      <c r="D11" s="5">
        <v>1</v>
      </c>
      <c r="E11" s="5">
        <v>5</v>
      </c>
      <c r="F11" s="19">
        <v>0.3139732756597482</v>
      </c>
      <c r="G11" s="5" t="s">
        <v>96</v>
      </c>
      <c r="H11" s="5"/>
      <c r="I11" s="5" t="s">
        <v>96</v>
      </c>
      <c r="J11" s="5"/>
    </row>
    <row r="12" spans="1:10" x14ac:dyDescent="0.25">
      <c r="A12" s="5" t="s">
        <v>105</v>
      </c>
      <c r="B12" s="5" t="s">
        <v>66</v>
      </c>
      <c r="C12" s="5" t="s">
        <v>7</v>
      </c>
      <c r="D12" s="5">
        <v>2</v>
      </c>
      <c r="E12" s="5">
        <v>10</v>
      </c>
      <c r="F12" s="19">
        <v>4.9289851862008283E-4</v>
      </c>
      <c r="G12" s="5" t="s">
        <v>96</v>
      </c>
      <c r="H12" s="5"/>
      <c r="I12" s="5" t="s">
        <v>96</v>
      </c>
      <c r="J12" s="5"/>
    </row>
    <row r="13" spans="1:10" x14ac:dyDescent="0.25">
      <c r="A13" s="5" t="s">
        <v>106</v>
      </c>
      <c r="B13" s="5" t="s">
        <v>66</v>
      </c>
      <c r="C13" s="5" t="s">
        <v>7</v>
      </c>
      <c r="D13" s="5">
        <v>5</v>
      </c>
      <c r="E13" s="5">
        <v>25</v>
      </c>
      <c r="F13" s="19">
        <v>1.9069916383327882E-12</v>
      </c>
      <c r="G13" s="5" t="s">
        <v>96</v>
      </c>
      <c r="H13" s="5"/>
      <c r="I13" s="5" t="s">
        <v>96</v>
      </c>
      <c r="J13" s="5"/>
    </row>
    <row r="14" spans="1:10" x14ac:dyDescent="0.25">
      <c r="A14" s="5" t="s">
        <v>107</v>
      </c>
      <c r="B14" s="5" t="s">
        <v>66</v>
      </c>
      <c r="C14" s="5" t="s">
        <v>60</v>
      </c>
      <c r="D14" s="5">
        <v>1</v>
      </c>
      <c r="E14" s="5">
        <v>5</v>
      </c>
      <c r="F14" s="19">
        <v>5.761711226159933E-11</v>
      </c>
      <c r="G14" s="5" t="s">
        <v>96</v>
      </c>
      <c r="H14" s="5"/>
      <c r="I14" s="5" t="s">
        <v>96</v>
      </c>
      <c r="J14" s="5"/>
    </row>
    <row r="15" spans="1:10" x14ac:dyDescent="0.25">
      <c r="A15" s="5" t="s">
        <v>108</v>
      </c>
      <c r="B15" s="5" t="s">
        <v>66</v>
      </c>
      <c r="C15" s="5" t="s">
        <v>60</v>
      </c>
      <c r="D15" s="5">
        <v>2</v>
      </c>
      <c r="E15" s="5">
        <v>10</v>
      </c>
      <c r="F15" s="19">
        <v>1.6598658126828689E-23</v>
      </c>
      <c r="G15" s="5" t="s">
        <v>96</v>
      </c>
      <c r="H15" s="5"/>
      <c r="I15" s="5" t="s">
        <v>96</v>
      </c>
      <c r="J15" s="5"/>
    </row>
    <row r="16" spans="1:10" x14ac:dyDescent="0.25">
      <c r="A16" s="5" t="s">
        <v>109</v>
      </c>
      <c r="B16" s="5" t="s">
        <v>66</v>
      </c>
      <c r="C16" s="5" t="s">
        <v>60</v>
      </c>
      <c r="D16" s="5">
        <v>5</v>
      </c>
      <c r="E16" s="5">
        <v>25</v>
      </c>
      <c r="F16" s="19">
        <v>3.9686011763239137E-61</v>
      </c>
      <c r="G16" s="5" t="s">
        <v>96</v>
      </c>
      <c r="H16" s="5"/>
      <c r="I16" s="5" t="s">
        <v>96</v>
      </c>
      <c r="J16" s="5"/>
    </row>
    <row r="17" spans="1:10" x14ac:dyDescent="0.25">
      <c r="A17" s="5" t="s">
        <v>110</v>
      </c>
      <c r="B17" s="5" t="s">
        <v>66</v>
      </c>
      <c r="C17" s="5" t="s">
        <v>63</v>
      </c>
      <c r="D17" s="5">
        <v>1</v>
      </c>
      <c r="E17" s="5">
        <v>5</v>
      </c>
      <c r="F17" s="19">
        <v>44.715741079832704</v>
      </c>
      <c r="G17" s="5" t="s">
        <v>94</v>
      </c>
      <c r="H17" s="19">
        <v>0.78420547764418558</v>
      </c>
      <c r="I17" s="5" t="s">
        <v>94</v>
      </c>
      <c r="J17" s="19">
        <v>1.728666915518811</v>
      </c>
    </row>
    <row r="18" spans="1:10" x14ac:dyDescent="0.25">
      <c r="A18" s="5" t="s">
        <v>111</v>
      </c>
      <c r="B18" s="5" t="s">
        <v>66</v>
      </c>
      <c r="C18" s="5" t="s">
        <v>63</v>
      </c>
      <c r="D18" s="5">
        <v>2</v>
      </c>
      <c r="E18" s="5">
        <v>10</v>
      </c>
      <c r="F18" s="19">
        <v>11.108009347816999</v>
      </c>
      <c r="G18" s="5" t="s">
        <v>94</v>
      </c>
      <c r="H18" s="19">
        <v>3.4365340489706679</v>
      </c>
      <c r="I18" s="5" t="s">
        <v>94</v>
      </c>
      <c r="J18" s="19">
        <v>14.546595907281731</v>
      </c>
    </row>
    <row r="19" spans="1:10" x14ac:dyDescent="0.25">
      <c r="A19" s="5" t="s">
        <v>112</v>
      </c>
      <c r="B19" s="5" t="s">
        <v>66</v>
      </c>
      <c r="C19" s="5" t="s">
        <v>63</v>
      </c>
      <c r="D19" s="5">
        <v>5</v>
      </c>
      <c r="E19" s="5">
        <v>25</v>
      </c>
      <c r="F19" s="19">
        <v>0.14652446206029629</v>
      </c>
      <c r="G19" s="5" t="s">
        <v>96</v>
      </c>
      <c r="H19" s="5"/>
      <c r="I19" s="5" t="s">
        <v>96</v>
      </c>
      <c r="J19" s="5"/>
    </row>
    <row r="20" spans="1:10" x14ac:dyDescent="0.25">
      <c r="A20" s="5" t="s">
        <v>113</v>
      </c>
      <c r="B20" s="5" t="s">
        <v>70</v>
      </c>
      <c r="C20" s="5" t="s">
        <v>7</v>
      </c>
      <c r="D20" s="5">
        <v>1</v>
      </c>
      <c r="E20" s="5">
        <v>5</v>
      </c>
      <c r="F20" s="19">
        <v>40.765106568284807</v>
      </c>
      <c r="G20" s="5" t="s">
        <v>94</v>
      </c>
      <c r="H20" s="19">
        <v>1.1729015531167679</v>
      </c>
      <c r="I20" s="5" t="s">
        <v>94</v>
      </c>
      <c r="J20" s="19">
        <v>2.618081518508816</v>
      </c>
    </row>
    <row r="21" spans="1:10" x14ac:dyDescent="0.25">
      <c r="A21" s="5" t="s">
        <v>114</v>
      </c>
      <c r="B21" s="5" t="s">
        <v>70</v>
      </c>
      <c r="C21" s="5" t="s">
        <v>7</v>
      </c>
      <c r="D21" s="5">
        <v>2</v>
      </c>
      <c r="E21" s="5">
        <v>10</v>
      </c>
      <c r="F21" s="19">
        <v>9.0619219005784721</v>
      </c>
      <c r="G21" s="5" t="s">
        <v>94</v>
      </c>
      <c r="H21" s="19">
        <v>5.2257932015642901</v>
      </c>
      <c r="I21" s="5" t="s">
        <v>96</v>
      </c>
      <c r="J21" s="5"/>
    </row>
    <row r="22" spans="1:10" x14ac:dyDescent="0.25">
      <c r="A22" s="5" t="s">
        <v>115</v>
      </c>
      <c r="B22" s="5" t="s">
        <v>70</v>
      </c>
      <c r="C22" s="5" t="s">
        <v>7</v>
      </c>
      <c r="D22" s="5">
        <v>5</v>
      </c>
      <c r="E22" s="5">
        <v>25</v>
      </c>
      <c r="F22" s="19">
        <v>8.7849962264611725E-2</v>
      </c>
      <c r="G22" s="5" t="s">
        <v>96</v>
      </c>
      <c r="H22" s="5"/>
      <c r="I22" s="5" t="s">
        <v>96</v>
      </c>
      <c r="J22" s="5"/>
    </row>
    <row r="23" spans="1:10" x14ac:dyDescent="0.25">
      <c r="A23" s="5" t="s">
        <v>116</v>
      </c>
      <c r="B23" s="5" t="s">
        <v>70</v>
      </c>
      <c r="C23" s="5" t="s">
        <v>60</v>
      </c>
      <c r="D23" s="5">
        <v>1</v>
      </c>
      <c r="E23" s="5">
        <v>5</v>
      </c>
      <c r="F23" s="19">
        <v>0.19869163995087491</v>
      </c>
      <c r="G23" s="5" t="s">
        <v>96</v>
      </c>
      <c r="H23" s="5"/>
      <c r="I23" s="5" t="s">
        <v>96</v>
      </c>
      <c r="J23" s="5"/>
    </row>
    <row r="24" spans="1:10" x14ac:dyDescent="0.25">
      <c r="A24" s="5" t="s">
        <v>117</v>
      </c>
      <c r="B24" s="5" t="s">
        <v>70</v>
      </c>
      <c r="C24" s="5" t="s">
        <v>60</v>
      </c>
      <c r="D24" s="5">
        <v>2</v>
      </c>
      <c r="E24" s="5">
        <v>10</v>
      </c>
      <c r="F24" s="19">
        <v>1.9739222856799031E-4</v>
      </c>
      <c r="G24" s="5" t="s">
        <v>96</v>
      </c>
      <c r="H24" s="5"/>
      <c r="I24" s="5" t="s">
        <v>96</v>
      </c>
      <c r="J24" s="5"/>
    </row>
    <row r="25" spans="1:10" x14ac:dyDescent="0.25">
      <c r="A25" s="5" t="s">
        <v>118</v>
      </c>
      <c r="B25" s="5" t="s">
        <v>70</v>
      </c>
      <c r="C25" s="5" t="s">
        <v>60</v>
      </c>
      <c r="D25" s="5">
        <v>5</v>
      </c>
      <c r="E25" s="5">
        <v>25</v>
      </c>
      <c r="F25" s="19">
        <v>1.935441870697909E-13</v>
      </c>
      <c r="G25" s="5" t="s">
        <v>96</v>
      </c>
      <c r="H25" s="5"/>
      <c r="I25" s="5" t="s">
        <v>96</v>
      </c>
      <c r="J25" s="5"/>
    </row>
    <row r="26" spans="1:10" x14ac:dyDescent="0.25">
      <c r="A26" s="5" t="s">
        <v>119</v>
      </c>
      <c r="B26" s="5" t="s">
        <v>70</v>
      </c>
      <c r="C26" s="5" t="s">
        <v>63</v>
      </c>
      <c r="D26" s="5">
        <v>1</v>
      </c>
      <c r="E26" s="5">
        <v>5</v>
      </c>
      <c r="F26" s="19">
        <v>94.307832430063186</v>
      </c>
      <c r="G26" s="5" t="s">
        <v>94</v>
      </c>
      <c r="H26" s="19">
        <v>0.56980682968537177</v>
      </c>
      <c r="I26" s="5" t="s">
        <v>94</v>
      </c>
      <c r="J26" s="19">
        <v>1.172922861150866</v>
      </c>
    </row>
    <row r="27" spans="1:10" x14ac:dyDescent="0.25">
      <c r="A27" s="5" t="s">
        <v>120</v>
      </c>
      <c r="B27" s="5" t="s">
        <v>70</v>
      </c>
      <c r="C27" s="5" t="s">
        <v>63</v>
      </c>
      <c r="D27" s="5">
        <v>2</v>
      </c>
      <c r="E27" s="5">
        <v>10</v>
      </c>
      <c r="F27" s="19">
        <v>80.082307192806354</v>
      </c>
      <c r="G27" s="5" t="s">
        <v>94</v>
      </c>
      <c r="H27" s="19">
        <v>2.2892909757851072</v>
      </c>
      <c r="I27" s="5" t="s">
        <v>94</v>
      </c>
      <c r="J27" s="19">
        <v>4.7650096624352498</v>
      </c>
    </row>
    <row r="28" spans="1:10" x14ac:dyDescent="0.25">
      <c r="A28" s="5" t="s">
        <v>121</v>
      </c>
      <c r="B28" s="5" t="s">
        <v>70</v>
      </c>
      <c r="C28" s="5" t="s">
        <v>63</v>
      </c>
      <c r="D28" s="5">
        <v>5</v>
      </c>
      <c r="E28" s="5">
        <v>25</v>
      </c>
      <c r="F28" s="19">
        <v>34.42232428753006</v>
      </c>
      <c r="G28" s="5" t="s">
        <v>94</v>
      </c>
      <c r="H28" s="19">
        <v>14.77739154693595</v>
      </c>
      <c r="I28" s="5" t="s">
        <v>94</v>
      </c>
      <c r="J28" s="19">
        <v>33.871646956277758</v>
      </c>
    </row>
    <row r="29" spans="1:10" x14ac:dyDescent="0.25">
      <c r="A29" s="5" t="s">
        <v>122</v>
      </c>
      <c r="B29" s="5" t="s">
        <v>74</v>
      </c>
      <c r="C29" s="5" t="s">
        <v>7</v>
      </c>
      <c r="D29" s="5">
        <v>1</v>
      </c>
      <c r="E29" s="5">
        <v>5</v>
      </c>
      <c r="F29" s="19">
        <v>7.9510320045708074</v>
      </c>
      <c r="G29" s="5" t="s">
        <v>94</v>
      </c>
      <c r="H29" s="19">
        <v>1.4819676143179701</v>
      </c>
      <c r="I29" s="5" t="s">
        <v>96</v>
      </c>
      <c r="J29" s="5"/>
    </row>
    <row r="30" spans="1:10" x14ac:dyDescent="0.25">
      <c r="A30" s="5" t="s">
        <v>123</v>
      </c>
      <c r="B30" s="5" t="s">
        <v>74</v>
      </c>
      <c r="C30" s="5" t="s">
        <v>7</v>
      </c>
      <c r="D30" s="5">
        <v>2</v>
      </c>
      <c r="E30" s="5">
        <v>10</v>
      </c>
      <c r="F30" s="19">
        <v>0.31709687562964423</v>
      </c>
      <c r="G30" s="5" t="s">
        <v>96</v>
      </c>
      <c r="H30" s="5"/>
      <c r="I30" s="5" t="s">
        <v>96</v>
      </c>
      <c r="J30" s="5"/>
    </row>
    <row r="31" spans="1:10" x14ac:dyDescent="0.25">
      <c r="A31" s="5" t="s">
        <v>124</v>
      </c>
      <c r="B31" s="5" t="s">
        <v>74</v>
      </c>
      <c r="C31" s="5" t="s">
        <v>7</v>
      </c>
      <c r="D31" s="5">
        <v>5</v>
      </c>
      <c r="E31" s="5">
        <v>25</v>
      </c>
      <c r="F31" s="19">
        <v>2.00187816717319E-5</v>
      </c>
      <c r="G31" s="5" t="s">
        <v>96</v>
      </c>
      <c r="H31" s="5"/>
      <c r="I31" s="5" t="s">
        <v>96</v>
      </c>
      <c r="J31" s="5"/>
    </row>
    <row r="32" spans="1:10" x14ac:dyDescent="0.25">
      <c r="A32" s="5" t="s">
        <v>125</v>
      </c>
      <c r="B32" s="5" t="s">
        <v>74</v>
      </c>
      <c r="C32" s="5" t="s">
        <v>60</v>
      </c>
      <c r="D32" s="5">
        <v>1</v>
      </c>
      <c r="E32" s="5">
        <v>5</v>
      </c>
      <c r="F32" s="19">
        <v>1.097727682559046E-4</v>
      </c>
      <c r="G32" s="5" t="s">
        <v>96</v>
      </c>
      <c r="H32" s="5"/>
      <c r="I32" s="5" t="s">
        <v>96</v>
      </c>
      <c r="J32" s="5"/>
    </row>
    <row r="33" spans="1:10" x14ac:dyDescent="0.25">
      <c r="A33" s="5" t="s">
        <v>126</v>
      </c>
      <c r="B33" s="5" t="s">
        <v>74</v>
      </c>
      <c r="C33" s="5" t="s">
        <v>60</v>
      </c>
      <c r="D33" s="5">
        <v>2</v>
      </c>
      <c r="E33" s="5">
        <v>10</v>
      </c>
      <c r="F33" s="19">
        <v>6.0250303252858992E-11</v>
      </c>
      <c r="G33" s="5" t="s">
        <v>96</v>
      </c>
      <c r="H33" s="5"/>
      <c r="I33" s="5" t="s">
        <v>96</v>
      </c>
      <c r="J33" s="5"/>
    </row>
    <row r="34" spans="1:10" x14ac:dyDescent="0.25">
      <c r="A34" s="5" t="s">
        <v>127</v>
      </c>
      <c r="B34" s="5" t="s">
        <v>74</v>
      </c>
      <c r="C34" s="5" t="s">
        <v>60</v>
      </c>
      <c r="D34" s="5">
        <v>5</v>
      </c>
      <c r="E34" s="5">
        <v>25</v>
      </c>
      <c r="F34" s="19">
        <v>9.9621505222579189E-30</v>
      </c>
      <c r="G34" s="5" t="s">
        <v>96</v>
      </c>
      <c r="H34" s="5"/>
      <c r="I34" s="5" t="s">
        <v>96</v>
      </c>
      <c r="J34" s="5"/>
    </row>
    <row r="35" spans="1:10" x14ac:dyDescent="0.25">
      <c r="A35" s="5" t="s">
        <v>128</v>
      </c>
      <c r="B35" s="5" t="s">
        <v>74</v>
      </c>
      <c r="C35" s="5" t="s">
        <v>63</v>
      </c>
      <c r="D35" s="5">
        <v>1</v>
      </c>
      <c r="E35" s="5">
        <v>5</v>
      </c>
      <c r="F35" s="19">
        <v>78.665491142306436</v>
      </c>
      <c r="G35" s="5" t="s">
        <v>94</v>
      </c>
      <c r="H35" s="19">
        <v>0.6400960494753799</v>
      </c>
      <c r="I35" s="5" t="s">
        <v>94</v>
      </c>
      <c r="J35" s="19">
        <v>1.3340204895388299</v>
      </c>
    </row>
    <row r="36" spans="1:10" x14ac:dyDescent="0.25">
      <c r="A36" s="5" t="s">
        <v>129</v>
      </c>
      <c r="B36" s="5" t="s">
        <v>74</v>
      </c>
      <c r="C36" s="5" t="s">
        <v>63</v>
      </c>
      <c r="D36" s="5">
        <v>2</v>
      </c>
      <c r="E36" s="5">
        <v>10</v>
      </c>
      <c r="F36" s="19">
        <v>44.804342328643912</v>
      </c>
      <c r="G36" s="5" t="s">
        <v>94</v>
      </c>
      <c r="H36" s="19">
        <v>2.6114380988733492</v>
      </c>
      <c r="I36" s="5" t="s">
        <v>94</v>
      </c>
      <c r="J36" s="19">
        <v>5.7545151210566461</v>
      </c>
    </row>
    <row r="37" spans="1:10" x14ac:dyDescent="0.25">
      <c r="A37" s="5" t="s">
        <v>130</v>
      </c>
      <c r="B37" s="5" t="s">
        <v>74</v>
      </c>
      <c r="C37" s="5" t="s">
        <v>63</v>
      </c>
      <c r="D37" s="5">
        <v>5</v>
      </c>
      <c r="E37" s="5">
        <v>25</v>
      </c>
      <c r="F37" s="19">
        <v>5.439412164260327</v>
      </c>
      <c r="G37" s="5" t="s">
        <v>94</v>
      </c>
      <c r="H37" s="19">
        <v>19.48018216134632</v>
      </c>
      <c r="I37" s="5" t="s">
        <v>96</v>
      </c>
      <c r="J37" s="5"/>
    </row>
    <row r="38" spans="1:10" x14ac:dyDescent="0.25">
      <c r="A38" s="5" t="s">
        <v>131</v>
      </c>
      <c r="B38" s="5" t="s">
        <v>78</v>
      </c>
      <c r="C38" s="5" t="s">
        <v>7</v>
      </c>
      <c r="D38" s="5">
        <v>1</v>
      </c>
      <c r="E38" s="5">
        <v>5</v>
      </c>
      <c r="F38" s="19">
        <v>99.981847645832119</v>
      </c>
      <c r="G38" s="5" t="s">
        <v>94</v>
      </c>
      <c r="H38" s="19">
        <v>1.671217287523342</v>
      </c>
      <c r="I38" s="5" t="s">
        <v>94</v>
      </c>
      <c r="J38" s="19">
        <v>3.4277588068793809</v>
      </c>
    </row>
    <row r="39" spans="1:10" x14ac:dyDescent="0.25">
      <c r="A39" s="5" t="s">
        <v>132</v>
      </c>
      <c r="B39" s="5" t="s">
        <v>78</v>
      </c>
      <c r="C39" s="5" t="s">
        <v>7</v>
      </c>
      <c r="D39" s="5">
        <v>2</v>
      </c>
      <c r="E39" s="5">
        <v>10</v>
      </c>
      <c r="F39" s="19">
        <v>99.927423519775672</v>
      </c>
      <c r="G39" s="5" t="s">
        <v>94</v>
      </c>
      <c r="H39" s="19">
        <v>6.6856275294460783</v>
      </c>
      <c r="I39" s="5" t="s">
        <v>94</v>
      </c>
      <c r="J39" s="19">
        <v>13.71179354564128</v>
      </c>
    </row>
    <row r="40" spans="1:10" x14ac:dyDescent="0.25">
      <c r="A40" s="5" t="s">
        <v>133</v>
      </c>
      <c r="B40" s="5" t="s">
        <v>78</v>
      </c>
      <c r="C40" s="5" t="s">
        <v>7</v>
      </c>
      <c r="D40" s="5">
        <v>5</v>
      </c>
      <c r="E40" s="5">
        <v>25</v>
      </c>
      <c r="F40" s="19">
        <v>99.547832880262661</v>
      </c>
      <c r="G40" s="5" t="s">
        <v>94</v>
      </c>
      <c r="H40" s="19">
        <v>41.785169510098669</v>
      </c>
      <c r="I40" s="5" t="s">
        <v>94</v>
      </c>
      <c r="J40" s="19">
        <v>85.727145841162454</v>
      </c>
    </row>
    <row r="41" spans="1:10" x14ac:dyDescent="0.25">
      <c r="A41" s="5" t="s">
        <v>134</v>
      </c>
      <c r="B41" s="5" t="s">
        <v>78</v>
      </c>
      <c r="C41" s="5" t="s">
        <v>60</v>
      </c>
      <c r="D41" s="5">
        <v>1</v>
      </c>
      <c r="E41" s="5">
        <v>5</v>
      </c>
      <c r="F41" s="19">
        <v>99.637993447221618</v>
      </c>
      <c r="G41" s="5" t="s">
        <v>94</v>
      </c>
      <c r="H41" s="19">
        <v>3.3428136093601339</v>
      </c>
      <c r="I41" s="5" t="s">
        <v>94</v>
      </c>
      <c r="J41" s="19">
        <v>6.857792548117482</v>
      </c>
    </row>
    <row r="42" spans="1:10" x14ac:dyDescent="0.25">
      <c r="A42" s="5" t="s">
        <v>135</v>
      </c>
      <c r="B42" s="5" t="s">
        <v>78</v>
      </c>
      <c r="C42" s="5" t="s">
        <v>60</v>
      </c>
      <c r="D42" s="5">
        <v>2</v>
      </c>
      <c r="E42" s="5">
        <v>10</v>
      </c>
      <c r="F42" s="19">
        <v>98.564965793552389</v>
      </c>
      <c r="G42" s="5" t="s">
        <v>94</v>
      </c>
      <c r="H42" s="19">
        <v>13.37580273162747</v>
      </c>
      <c r="I42" s="5" t="s">
        <v>94</v>
      </c>
      <c r="J42" s="19">
        <v>27.455435409679339</v>
      </c>
    </row>
    <row r="43" spans="1:10" x14ac:dyDescent="0.25">
      <c r="A43" s="5" t="s">
        <v>136</v>
      </c>
      <c r="B43" s="5" t="s">
        <v>78</v>
      </c>
      <c r="C43" s="5" t="s">
        <v>60</v>
      </c>
      <c r="D43" s="5">
        <v>5</v>
      </c>
      <c r="E43" s="5">
        <v>25</v>
      </c>
      <c r="F43" s="19">
        <v>91.561910184394094</v>
      </c>
      <c r="G43" s="5" t="s">
        <v>94</v>
      </c>
      <c r="H43" s="19">
        <v>83.750352383827774</v>
      </c>
      <c r="I43" s="5" t="s">
        <v>94</v>
      </c>
      <c r="J43" s="19">
        <v>172.71495582166341</v>
      </c>
    </row>
    <row r="44" spans="1:10" x14ac:dyDescent="0.25">
      <c r="A44" s="5" t="s">
        <v>137</v>
      </c>
      <c r="B44" s="5" t="s">
        <v>78</v>
      </c>
      <c r="C44" s="5" t="s">
        <v>63</v>
      </c>
      <c r="D44" s="5">
        <v>1</v>
      </c>
      <c r="E44" s="5">
        <v>5</v>
      </c>
      <c r="F44" s="19">
        <v>99.999092251842143</v>
      </c>
      <c r="G44" s="5" t="s">
        <v>94</v>
      </c>
      <c r="H44" s="19">
        <v>0.83560864606753704</v>
      </c>
      <c r="I44" s="5" t="s">
        <v>94</v>
      </c>
      <c r="J44" s="19">
        <v>1.7138794081698421</v>
      </c>
    </row>
    <row r="45" spans="1:10" x14ac:dyDescent="0.25">
      <c r="A45" s="5" t="s">
        <v>138</v>
      </c>
      <c r="B45" s="5" t="s">
        <v>78</v>
      </c>
      <c r="C45" s="5" t="s">
        <v>63</v>
      </c>
      <c r="D45" s="5">
        <v>2</v>
      </c>
      <c r="E45" s="5">
        <v>10</v>
      </c>
      <c r="F45" s="19">
        <v>99.996369089767384</v>
      </c>
      <c r="G45" s="5" t="s">
        <v>94</v>
      </c>
      <c r="H45" s="19">
        <v>3.3424345828138069</v>
      </c>
      <c r="I45" s="5" t="s">
        <v>94</v>
      </c>
      <c r="J45" s="19">
        <v>6.8555176296893139</v>
      </c>
    </row>
    <row r="46" spans="1:10" x14ac:dyDescent="0.25">
      <c r="A46" s="5" t="s">
        <v>139</v>
      </c>
      <c r="B46" s="5" t="s">
        <v>78</v>
      </c>
      <c r="C46" s="5" t="s">
        <v>63</v>
      </c>
      <c r="D46" s="5">
        <v>5</v>
      </c>
      <c r="E46" s="5">
        <v>25</v>
      </c>
      <c r="F46" s="19">
        <v>99.977310415358346</v>
      </c>
      <c r="G46" s="5" t="s">
        <v>94</v>
      </c>
      <c r="H46" s="19">
        <v>20.89258619641868</v>
      </c>
      <c r="I46" s="5" t="s">
        <v>94</v>
      </c>
      <c r="J46" s="19">
        <v>42.846985054890233</v>
      </c>
    </row>
    <row r="47" spans="1:10" x14ac:dyDescent="0.25">
      <c r="A47" s="5" t="s">
        <v>140</v>
      </c>
      <c r="B47" s="5" t="s">
        <v>82</v>
      </c>
      <c r="C47" s="5" t="s">
        <v>7</v>
      </c>
      <c r="D47" s="5">
        <v>1</v>
      </c>
      <c r="E47" s="5">
        <v>5</v>
      </c>
      <c r="F47" s="19">
        <v>68.867053335898774</v>
      </c>
      <c r="G47" s="5" t="s">
        <v>94</v>
      </c>
      <c r="H47" s="19">
        <v>1.7943947299451819</v>
      </c>
      <c r="I47" s="5" t="s">
        <v>94</v>
      </c>
      <c r="J47" s="19">
        <v>3.7797939741503539</v>
      </c>
    </row>
    <row r="48" spans="1:10" x14ac:dyDescent="0.25">
      <c r="A48" s="5" t="s">
        <v>141</v>
      </c>
      <c r="B48" s="5" t="s">
        <v>82</v>
      </c>
      <c r="C48" s="5" t="s">
        <v>7</v>
      </c>
      <c r="D48" s="5">
        <v>2</v>
      </c>
      <c r="E48" s="5">
        <v>10</v>
      </c>
      <c r="F48" s="19">
        <v>31.08454334373868</v>
      </c>
      <c r="G48" s="5" t="s">
        <v>94</v>
      </c>
      <c r="H48" s="19">
        <v>7.4184007349625656</v>
      </c>
      <c r="I48" s="5" t="s">
        <v>94</v>
      </c>
      <c r="J48" s="19">
        <v>17.32303354676651</v>
      </c>
    </row>
    <row r="49" spans="1:10" x14ac:dyDescent="0.25">
      <c r="A49" s="5" t="s">
        <v>142</v>
      </c>
      <c r="B49" s="5" t="s">
        <v>82</v>
      </c>
      <c r="C49" s="5" t="s">
        <v>7</v>
      </c>
      <c r="D49" s="5">
        <v>5</v>
      </c>
      <c r="E49" s="5">
        <v>25</v>
      </c>
      <c r="F49" s="19">
        <v>2.027699954845096</v>
      </c>
      <c r="G49" s="5" t="s">
        <v>94</v>
      </c>
      <c r="H49" s="19">
        <v>68.260973880715781</v>
      </c>
      <c r="I49" s="5" t="s">
        <v>96</v>
      </c>
      <c r="J49" s="5"/>
    </row>
    <row r="50" spans="1:10" x14ac:dyDescent="0.25">
      <c r="A50" s="5" t="s">
        <v>143</v>
      </c>
      <c r="B50" s="5" t="s">
        <v>82</v>
      </c>
      <c r="C50" s="5" t="s">
        <v>60</v>
      </c>
      <c r="D50" s="5">
        <v>1</v>
      </c>
      <c r="E50" s="5">
        <v>5</v>
      </c>
      <c r="F50" s="19">
        <v>3.291856401802677</v>
      </c>
      <c r="G50" s="5" t="s">
        <v>94</v>
      </c>
      <c r="H50" s="19">
        <v>4.7656368732979937</v>
      </c>
      <c r="I50" s="5" t="s">
        <v>96</v>
      </c>
      <c r="J50" s="5"/>
    </row>
    <row r="51" spans="1:10" x14ac:dyDescent="0.25">
      <c r="A51" s="5" t="s">
        <v>144</v>
      </c>
      <c r="B51" s="5" t="s">
        <v>82</v>
      </c>
      <c r="C51" s="5" t="s">
        <v>60</v>
      </c>
      <c r="D51" s="5">
        <v>2</v>
      </c>
      <c r="E51" s="5">
        <v>10</v>
      </c>
      <c r="F51" s="19">
        <v>5.4210965214899383E-2</v>
      </c>
      <c r="G51" s="5" t="s">
        <v>96</v>
      </c>
      <c r="H51" s="5"/>
      <c r="I51" s="5" t="s">
        <v>96</v>
      </c>
      <c r="J51" s="5"/>
    </row>
    <row r="52" spans="1:10" x14ac:dyDescent="0.25">
      <c r="A52" s="5" t="s">
        <v>145</v>
      </c>
      <c r="B52" s="5" t="s">
        <v>82</v>
      </c>
      <c r="C52" s="5" t="s">
        <v>60</v>
      </c>
      <c r="D52" s="5">
        <v>5</v>
      </c>
      <c r="E52" s="5">
        <v>25</v>
      </c>
      <c r="F52" s="19">
        <v>2.4192064735671491E-7</v>
      </c>
      <c r="G52" s="5" t="s">
        <v>96</v>
      </c>
      <c r="H52" s="5"/>
      <c r="I52" s="5" t="s">
        <v>96</v>
      </c>
      <c r="J52" s="5"/>
    </row>
    <row r="53" spans="1:10" x14ac:dyDescent="0.25">
      <c r="A53" s="5" t="s">
        <v>146</v>
      </c>
      <c r="B53" s="5" t="s">
        <v>82</v>
      </c>
      <c r="C53" s="5" t="s">
        <v>63</v>
      </c>
      <c r="D53" s="5">
        <v>1</v>
      </c>
      <c r="E53" s="5">
        <v>5</v>
      </c>
      <c r="F53" s="19">
        <v>97.928391835679989</v>
      </c>
      <c r="G53" s="5" t="s">
        <v>94</v>
      </c>
      <c r="H53" s="19">
        <v>0.88843861072579156</v>
      </c>
      <c r="I53" s="5" t="s">
        <v>94</v>
      </c>
      <c r="J53" s="19">
        <v>1.824427173176</v>
      </c>
    </row>
    <row r="54" spans="1:10" x14ac:dyDescent="0.25">
      <c r="A54" s="5" t="s">
        <v>147</v>
      </c>
      <c r="B54" s="5" t="s">
        <v>82</v>
      </c>
      <c r="C54" s="5" t="s">
        <v>63</v>
      </c>
      <c r="D54" s="5">
        <v>2</v>
      </c>
      <c r="E54" s="5">
        <v>10</v>
      </c>
      <c r="F54" s="19">
        <v>92.122403689080983</v>
      </c>
      <c r="G54" s="5" t="s">
        <v>94</v>
      </c>
      <c r="H54" s="19">
        <v>3.5593923610395599</v>
      </c>
      <c r="I54" s="5" t="s">
        <v>94</v>
      </c>
      <c r="J54" s="19">
        <v>7.3371919064668267</v>
      </c>
    </row>
    <row r="55" spans="1:10" x14ac:dyDescent="0.25">
      <c r="A55" s="5" t="s">
        <v>148</v>
      </c>
      <c r="B55" s="5" t="s">
        <v>82</v>
      </c>
      <c r="C55" s="5" t="s">
        <v>63</v>
      </c>
      <c r="D55" s="5">
        <v>5</v>
      </c>
      <c r="E55" s="5">
        <v>25</v>
      </c>
      <c r="F55" s="19">
        <v>63.494085806018212</v>
      </c>
      <c r="G55" s="5" t="s">
        <v>94</v>
      </c>
      <c r="H55" s="19">
        <v>22.490340663130841</v>
      </c>
      <c r="I55" s="5" t="s">
        <v>94</v>
      </c>
      <c r="J55" s="19">
        <v>47.71327030942134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defaultRowHeight="15" x14ac:dyDescent="0.25"/>
  <cols>
    <col min="1" max="1" width="12" customWidth="1"/>
    <col min="2" max="2" width="18" customWidth="1"/>
    <col min="3" max="3" width="22" customWidth="1"/>
    <col min="4" max="4" width="14" customWidth="1"/>
    <col min="5" max="5" width="12" customWidth="1"/>
  </cols>
  <sheetData>
    <row r="1" spans="1:5" x14ac:dyDescent="0.25">
      <c r="A1" t="s">
        <v>149</v>
      </c>
    </row>
    <row r="3" spans="1:5" x14ac:dyDescent="0.25">
      <c r="A3" s="14" t="s">
        <v>45</v>
      </c>
      <c r="B3" s="14" t="s">
        <v>150</v>
      </c>
      <c r="C3" s="14" t="s">
        <v>151</v>
      </c>
      <c r="D3" s="14" t="s">
        <v>152</v>
      </c>
      <c r="E3" s="14" t="s">
        <v>153</v>
      </c>
    </row>
    <row r="4" spans="1:5" x14ac:dyDescent="0.25">
      <c r="A4" s="5">
        <v>2</v>
      </c>
      <c r="B4" s="19">
        <f t="shared" ref="B4:B18" si="0">4*PI()/3*POWER(A4,3)/1000</f>
        <v>3.3510321638291124E-2</v>
      </c>
      <c r="C4" s="19">
        <f>100/COSH(A4/Calculator!$B$21)</f>
        <v>83.513982574682686</v>
      </c>
      <c r="D4" s="19">
        <f>Calculator!$B$11*100</f>
        <v>1</v>
      </c>
      <c r="E4" s="5" t="str">
        <f t="shared" ref="E4:E18" si="1">IF(C4&gt;=D4,"Reachable","NR")</f>
        <v>Reachable</v>
      </c>
    </row>
    <row r="5" spans="1:5" x14ac:dyDescent="0.25">
      <c r="A5" s="5">
        <v>4</v>
      </c>
      <c r="B5" s="19">
        <f t="shared" si="0"/>
        <v>0.26808257310632899</v>
      </c>
      <c r="C5" s="19">
        <f>100/COSH(A5/Calculator!$B$21)</f>
        <v>53.545974837268616</v>
      </c>
      <c r="D5" s="19">
        <f>Calculator!$B$11*100</f>
        <v>1</v>
      </c>
      <c r="E5" s="5" t="str">
        <f t="shared" si="1"/>
        <v>Reachable</v>
      </c>
    </row>
    <row r="6" spans="1:5" x14ac:dyDescent="0.25">
      <c r="A6" s="5">
        <v>6</v>
      </c>
      <c r="B6" s="19">
        <f t="shared" si="0"/>
        <v>0.90477868423386032</v>
      </c>
      <c r="C6" s="19">
        <f>100/COSH(A6/Calculator!$B$21)</f>
        <v>30.534071047451217</v>
      </c>
      <c r="D6" s="19">
        <f>Calculator!$B$11*100</f>
        <v>1</v>
      </c>
      <c r="E6" s="5" t="str">
        <f t="shared" si="1"/>
        <v>Reachable</v>
      </c>
    </row>
    <row r="7" spans="1:5" x14ac:dyDescent="0.25">
      <c r="A7" s="5">
        <v>8</v>
      </c>
      <c r="B7" s="19">
        <f t="shared" si="0"/>
        <v>2.1446605848506319</v>
      </c>
      <c r="C7" s="19">
        <f>100/COSH(A7/Calculator!$B$21)</f>
        <v>16.73495656656192</v>
      </c>
      <c r="D7" s="19">
        <f>Calculator!$B$11*100</f>
        <v>1</v>
      </c>
      <c r="E7" s="5" t="str">
        <f t="shared" si="1"/>
        <v>Reachable</v>
      </c>
    </row>
    <row r="8" spans="1:5" x14ac:dyDescent="0.25">
      <c r="A8" s="5">
        <v>10</v>
      </c>
      <c r="B8" s="19">
        <f t="shared" si="0"/>
        <v>4.1887902047863905</v>
      </c>
      <c r="C8" s="19">
        <f>100/COSH(A8/Calculator!$B$21)</f>
        <v>9.0619219005784775</v>
      </c>
      <c r="D8" s="19">
        <f>Calculator!$B$11*100</f>
        <v>1</v>
      </c>
      <c r="E8" s="5" t="str">
        <f t="shared" si="1"/>
        <v>Reachable</v>
      </c>
    </row>
    <row r="9" spans="1:5" x14ac:dyDescent="0.25">
      <c r="A9" s="5">
        <v>12</v>
      </c>
      <c r="B9" s="19">
        <f t="shared" si="0"/>
        <v>7.2382294738708826</v>
      </c>
      <c r="C9" s="19">
        <f>100/COSH(A9/Calculator!$B$21)</f>
        <v>4.8895825762940293</v>
      </c>
      <c r="D9" s="19">
        <f>Calculator!$B$11*100</f>
        <v>1</v>
      </c>
      <c r="E9" s="5" t="str">
        <f t="shared" si="1"/>
        <v>Reachable</v>
      </c>
    </row>
    <row r="10" spans="1:5" x14ac:dyDescent="0.25">
      <c r="A10" s="5">
        <v>14</v>
      </c>
      <c r="B10" s="19">
        <f t="shared" si="0"/>
        <v>11.494040321933856</v>
      </c>
      <c r="C10" s="19">
        <f>100/COSH(A10/Calculator!$B$21)</f>
        <v>2.6355611222306492</v>
      </c>
      <c r="D10" s="19">
        <f>Calculator!$B$11*100</f>
        <v>1</v>
      </c>
      <c r="E10" s="5" t="str">
        <f t="shared" si="1"/>
        <v>Reachable</v>
      </c>
    </row>
    <row r="11" spans="1:5" x14ac:dyDescent="0.25">
      <c r="A11" s="5">
        <v>16</v>
      </c>
      <c r="B11" s="19">
        <f t="shared" si="0"/>
        <v>17.157284678805055</v>
      </c>
      <c r="C11" s="19">
        <f>100/COSH(A11/Calculator!$B$21)</f>
        <v>1.4201805575206534</v>
      </c>
      <c r="D11" s="19">
        <f>Calculator!$B$11*100</f>
        <v>1</v>
      </c>
      <c r="E11" s="5" t="str">
        <f t="shared" si="1"/>
        <v>Reachable</v>
      </c>
    </row>
    <row r="12" spans="1:5" x14ac:dyDescent="0.25">
      <c r="A12" s="5">
        <v>18</v>
      </c>
      <c r="B12" s="19">
        <f t="shared" si="0"/>
        <v>24.429024474314229</v>
      </c>
      <c r="C12" s="19">
        <f>100/COSH(A12/Calculator!$B$21)</f>
        <v>0.76520189822935414</v>
      </c>
      <c r="D12" s="19">
        <f>Calculator!$B$11*100</f>
        <v>1</v>
      </c>
      <c r="E12" s="5" t="str">
        <f t="shared" si="1"/>
        <v>NR</v>
      </c>
    </row>
    <row r="13" spans="1:5" x14ac:dyDescent="0.25">
      <c r="A13" s="5">
        <v>20</v>
      </c>
      <c r="B13" s="19">
        <f t="shared" si="0"/>
        <v>33.510321638291124</v>
      </c>
      <c r="C13" s="19">
        <f>100/COSH(A13/Calculator!$B$21)</f>
        <v>0.41228495228035567</v>
      </c>
      <c r="D13" s="19">
        <f>Calculator!$B$11*100</f>
        <v>1</v>
      </c>
      <c r="E13" s="5" t="str">
        <f t="shared" si="1"/>
        <v>NR</v>
      </c>
    </row>
    <row r="14" spans="1:5" x14ac:dyDescent="0.25">
      <c r="A14" s="5">
        <v>22</v>
      </c>
      <c r="B14" s="19">
        <f t="shared" si="0"/>
        <v>44.602238100565486</v>
      </c>
      <c r="C14" s="19">
        <f>100/COSH(A14/Calculator!$B$21)</f>
        <v>0.22213435300575335</v>
      </c>
      <c r="D14" s="19">
        <f>Calculator!$B$11*100</f>
        <v>1</v>
      </c>
      <c r="E14" s="5" t="str">
        <f t="shared" si="1"/>
        <v>NR</v>
      </c>
    </row>
    <row r="15" spans="1:5" x14ac:dyDescent="0.25">
      <c r="A15" s="5">
        <v>24</v>
      </c>
      <c r="B15" s="19">
        <f t="shared" si="0"/>
        <v>57.90583579096706</v>
      </c>
      <c r="C15" s="19">
        <f>100/COSH(A15/Calculator!$B$21)</f>
        <v>0.1196831582056507</v>
      </c>
      <c r="D15" s="19">
        <f>Calculator!$B$11*100</f>
        <v>1</v>
      </c>
      <c r="E15" s="5" t="str">
        <f t="shared" si="1"/>
        <v>NR</v>
      </c>
    </row>
    <row r="16" spans="1:5" x14ac:dyDescent="0.25">
      <c r="A16" s="5">
        <v>26</v>
      </c>
      <c r="B16" s="19">
        <f t="shared" si="0"/>
        <v>73.622176639325602</v>
      </c>
      <c r="C16" s="19">
        <f>100/COSH(A16/Calculator!$B$21)</f>
        <v>6.4483720163424824E-2</v>
      </c>
      <c r="D16" s="19">
        <f>Calculator!$B$11*100</f>
        <v>1</v>
      </c>
      <c r="E16" s="5" t="str">
        <f t="shared" si="1"/>
        <v>NR</v>
      </c>
    </row>
    <row r="17" spans="1:5" x14ac:dyDescent="0.25">
      <c r="A17" s="5">
        <v>28</v>
      </c>
      <c r="B17" s="19">
        <f t="shared" si="0"/>
        <v>91.952322575470845</v>
      </c>
      <c r="C17" s="19">
        <f>100/COSH(A17/Calculator!$B$21)</f>
        <v>3.4742978698476749E-2</v>
      </c>
      <c r="D17" s="19">
        <f>Calculator!$B$11*100</f>
        <v>1</v>
      </c>
      <c r="E17" s="5" t="str">
        <f t="shared" si="1"/>
        <v>NR</v>
      </c>
    </row>
    <row r="18" spans="1:5" x14ac:dyDescent="0.25">
      <c r="A18" s="5">
        <v>30</v>
      </c>
      <c r="B18" s="19">
        <f t="shared" si="0"/>
        <v>113.09733552923254</v>
      </c>
      <c r="C18" s="19">
        <f>100/COSH(A18/Calculator!$B$21)</f>
        <v>1.8719058121663659E-2</v>
      </c>
      <c r="D18" s="19">
        <f>Calculator!$B$11*100</f>
        <v>1</v>
      </c>
      <c r="E18" s="5" t="str">
        <f t="shared" si="1"/>
        <v>NR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showGridLines="0" workbookViewId="0"/>
  </sheetViews>
  <sheetFormatPr defaultRowHeight="15" x14ac:dyDescent="0.25"/>
  <cols>
    <col min="1" max="1" width="120" customWidth="1"/>
  </cols>
  <sheetData>
    <row r="1" spans="1:1" ht="17.25" x14ac:dyDescent="0.3">
      <c r="A1" s="20" t="s">
        <v>154</v>
      </c>
    </row>
    <row r="2" spans="1:1" x14ac:dyDescent="0.25">
      <c r="A2" s="21" t="s">
        <v>15</v>
      </c>
    </row>
    <row r="3" spans="1:1" x14ac:dyDescent="0.25">
      <c r="A3" s="21" t="s">
        <v>155</v>
      </c>
    </row>
    <row r="4" spans="1:1" x14ac:dyDescent="0.25">
      <c r="A4" s="21" t="s">
        <v>156</v>
      </c>
    </row>
    <row r="5" spans="1:1" x14ac:dyDescent="0.25">
      <c r="A5" s="21" t="s">
        <v>157</v>
      </c>
    </row>
    <row r="6" spans="1:1" x14ac:dyDescent="0.25">
      <c r="A6" s="21" t="s">
        <v>158</v>
      </c>
    </row>
    <row r="7" spans="1:1" x14ac:dyDescent="0.25">
      <c r="A7" s="21" t="s">
        <v>159</v>
      </c>
    </row>
    <row r="8" spans="1:1" x14ac:dyDescent="0.25">
      <c r="A8" s="21" t="s">
        <v>160</v>
      </c>
    </row>
    <row r="9" spans="1:1" x14ac:dyDescent="0.25">
      <c r="A9" s="2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Calculator</vt:lpstr>
      <vt:lpstr>DrugParams</vt:lpstr>
      <vt:lpstr>ClinicalLookup</vt:lpstr>
      <vt:lpstr>d_sweep_slab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Aksenov</dc:creator>
  <cp:lastModifiedBy>Daniil Aksenov</cp:lastModifiedBy>
  <dcterms:created xsi:type="dcterms:W3CDTF">2026-04-06T01:35:26Z</dcterms:created>
  <dcterms:modified xsi:type="dcterms:W3CDTF">2026-04-06T01:36:57Z</dcterms:modified>
</cp:coreProperties>
</file>